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Pipeline" sheetId="3" state="visible" r:id="rId5"/>
    <sheet name="Playbook" sheetId="4" state="visible" r:id="rId6"/>
    <sheet name="Scripts" sheetId="5" state="visible" r:id="rId7"/>
    <sheet name="Objections" sheetId="6" state="visible" r:id="rId8"/>
    <sheet name="Triggers" sheetId="7" state="visible" r:id="rId9"/>
    <sheet name="Pricing &amp; Pilot" sheetId="8" state="visible" r:id="rId10"/>
    <sheet name="Activity Log" sheetId="9" state="visible" r:id="rId11"/>
    <sheet name="Lists" sheetId="10" state="hidden" r:id="rId12"/>
  </sheets>
  <definedNames>
    <definedName function="false" hidden="false" localSheetId="2" name="_xlnm.Print_Titles" vbProcedure="false">Pipeline!$A:$E,Pipeline!$1:$1</definedName>
    <definedName function="false" hidden="true" localSheetId="2" name="_xlnm._FilterDatabase" vbProcedure="false">Pipeline!$A$1:$AW$129</definedName>
    <definedName function="false" hidden="false" localSheetId="2" name="_xlnm.Print_Titles" vbProcedure="false">Pipeline!$1:$1,Pipeline!$A:$E</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Municipality was wrong in 30.8% of the audited sample (04-EXTRACTION-QA.md). Verify before relying on it.</t>
        </r>
      </text>
    </comment>
    <comment ref="M1" authorId="0">
      <text>
        <r>
          <rPr>
            <sz val="10"/>
            <rFont val="Arial"/>
            <family val="2"/>
          </rPr>
          <t xml:space="preserve">Capped at 63.6: three rubric dimensions could not be observed from public data. Relative ranking, not absolute.</t>
        </r>
      </text>
    </comment>
    <comment ref="V1" authorId="0">
      <text>
        <r>
          <rPr>
            <sz val="10"/>
            <rFont val="Arial"/>
            <family val="2"/>
          </rPr>
          <t xml:space="preserve">Published business contacts only. Blank = not found by search; enrich, do not guess.</t>
        </r>
      </text>
    </comment>
  </commentList>
</comments>
</file>

<file path=xl/sharedStrings.xml><?xml version="1.0" encoding="utf-8"?>
<sst xmlns="http://schemas.openxmlformats.org/spreadsheetml/2006/main" count="2629" uniqueCount="1189">
  <si>
    <t xml:space="preserve">Barcelona pipeline — how to use this workbook</t>
  </si>
  <si>
    <t xml:space="preserve">Generated 2026-09-13 from docs/market/barcelona/. Rebuild with: python3 scripts/market-pipeline-xlsx.py</t>
  </si>
  <si>
    <t xml:space="preserve">What this is</t>
  </si>
  <si>
    <t xml:space="preserve">128 construction and renovation firms in the Barcelona area, scored and tiered by the roadmap (05-TARGET-LIST.md), with their contact channels, ordered by priority, and a guided sales process from first call to customer. Everything a seller needs is in this one file.</t>
  </si>
  <si>
    <t xml:space="preserve">Start here</t>
  </si>
  <si>
    <t xml:space="preserve">1 · Pipeline sheet, filter Focus = Yes (Tier A and B, 37 firms). 2 · Sort by Priority rank. 3 · For each firm read Next action and Script to use — they change with the Stage. 4 · Log every touch in Activity Log. 5 · Move Stage only when the Exit criterion in Playbook is met. 6 · Dashboard shows where the week stands.</t>
  </si>
  <si>
    <t xml:space="preserve">Colour legend</t>
  </si>
  <si>
    <t xml:space="preserve">YELLOW fill = you fill this in (tracking columns). BLUE text = an input or lever you may change (probabilities, prices). BLACK text = a formula — do not overwrite. Tier colours: A green · B light green · C amber (investment case, not to contact now) · D grey (do not contact, reason given).</t>
  </si>
  <si>
    <t xml:space="preserve">Data caveat 1 — contacts</t>
  </si>
  <si>
    <t xml:space="preserve">Contact channels are only those the firm PUBLISHES (website, Google listing, marketplace profile, registry). Where a cell is blank, nothing was found by search — do not guess; enrich from SABI/eInforma or a call to the switchboard, then fill it in. Contact coverage per row and for Tier A+B is on the Dashboard.</t>
  </si>
  <si>
    <t xml:space="preserve">Data caveat 2 — scores</t>
  </si>
  <si>
    <t xml:space="preserve">Every score is capped at 63.6/100: three of five rubric dimensions could not be observed from public data (04-EXTRACTION-QA.md). Tiering is relative, not absolute. The 'Fact that confirms or demotes' column says what a first call must establish. Municipality was wrong in 30.8% of the audited sample — verify it before you drive there.</t>
  </si>
  <si>
    <t xml:space="preserve">Data protection</t>
  </si>
  <si>
    <t xml:space="preserve">Company-level, published contacts only. Do not add personal mobiles or personal email addresses. Legal basis is legitimate interest for B2B prospecting on published business data (04a-SOURCE-PLAN.md); anyone who objects is marked Lost with reason 'objected' and never contacted again. Before a pilot, the art. 28 processor agreement in Pricing &amp; Pilot must be signed.</t>
  </si>
  <si>
    <t xml:space="preserve">What the product cannot promise yet</t>
  </si>
  <si>
    <t xml:space="preserve">It is NOT fully Verifactu-compliant on day one (Objection 9). Never say it is. The deadline for an S.L. is 1 January 2027 (03-TRIGGER-MAP.md §1) — re-check on the day of sending.</t>
  </si>
  <si>
    <t xml:space="preserve">A demo on their data</t>
  </si>
  <si>
    <t xml:space="preserve">Costs 8–16 engineering hours today (07-TAILORING-ECONOMICS.md §4) and two customers cannot yet share one stack. Book engineering before promising a demo; run at most two pilots at once.</t>
  </si>
  <si>
    <t xml:space="preserve">Sheets</t>
  </si>
  <si>
    <t xml:space="preserve">Dashboard · Pipeline (the list + tracker) · Playbook (stages, what to do, exit criteria, MEDDPICC) · Scripts (ES/CA copy) · Objections · Triggers (openers) · Pricing &amp; Pilot · Activity Log · Lists (hidden dropdowns).</t>
  </si>
  <si>
    <t xml:space="preserve">Sources</t>
  </si>
  <si>
    <t xml:space="preserve">05-TARGET-LIST.md (tiers, scores, reasons) · 04-PROSPECTS.jsonl + 04b-CONTACTS.jsonl (firms, contacts) · 06-VALUE-CASE.md (pricing) · 08-GTM-PLAN.md (stages, objections, MEDDPICC) · 09-OUTREACH-KIT.md (scripts) · 03-TRIGGER-MAP.md (openers) · 10-PILOT-SPEC.md (term sheet) · 12-SYNTHESIS.md (stop conditions).</t>
  </si>
  <si>
    <t xml:space="preserve">Swatches</t>
  </si>
  <si>
    <t xml:space="preserve">You fill in</t>
  </si>
  <si>
    <t xml:space="preserve">Input / lever (blue)</t>
  </si>
  <si>
    <t xml:space="preserve">Tier A</t>
  </si>
  <si>
    <t xml:space="preserve">Tier B</t>
  </si>
  <si>
    <t xml:space="preserve">Tier C</t>
  </si>
  <si>
    <t xml:space="preserve">Tier D</t>
  </si>
  <si>
    <t xml:space="preserve">Dashboard — where the pipeline stands</t>
  </si>
  <si>
    <t xml:space="preserve">All formulas. Nothing to type here.</t>
  </si>
  <si>
    <t xml:space="preserve">Firms by tier</t>
  </si>
  <si>
    <t xml:space="preserve">Firms by stage</t>
  </si>
  <si>
    <t xml:space="preserve">Value</t>
  </si>
  <si>
    <t xml:space="preserve">Not started</t>
  </si>
  <si>
    <t xml:space="preserve">Pipeline ACV, Focus firms (€)</t>
  </si>
  <si>
    <t xml:space="preserve">Research</t>
  </si>
  <si>
    <t xml:space="preserve">Weighted pipeline (€)</t>
  </si>
  <si>
    <t xml:space="preserve">Cold call</t>
  </si>
  <si>
    <t xml:space="preserve">Customers</t>
  </si>
  <si>
    <t xml:space="preserve">First-touch email</t>
  </si>
  <si>
    <t xml:space="preserve">Customer ACV (€)</t>
  </si>
  <si>
    <t xml:space="preserve">Focus (A + B)</t>
  </si>
  <si>
    <t xml:space="preserve">Follow-up 1</t>
  </si>
  <si>
    <t xml:space="preserve">Focus firms with NO contact channel</t>
  </si>
  <si>
    <t xml:space="preserve">Follow-up 2</t>
  </si>
  <si>
    <t xml:space="preserve">Activity</t>
  </si>
  <si>
    <t xml:space="preserve">Focus firms with a phone</t>
  </si>
  <si>
    <t xml:space="preserve">Meeting booked</t>
  </si>
  <si>
    <t xml:space="preserve">Touches last 7 days</t>
  </si>
  <si>
    <t xml:space="preserve">Focus firms with an email</t>
  </si>
  <si>
    <t xml:space="preserve">Meeting held</t>
  </si>
  <si>
    <t xml:space="preserve">Touches last 30 days</t>
  </si>
  <si>
    <t xml:space="preserve">Overdue next actions</t>
  </si>
  <si>
    <t xml:space="preserve">Demo on their data</t>
  </si>
  <si>
    <t xml:space="preserve">  Calls, all time</t>
  </si>
  <si>
    <t xml:space="preserve">Pilot proposed</t>
  </si>
  <si>
    <t xml:space="preserve">  Emails, all time</t>
  </si>
  <si>
    <t xml:space="preserve">Pilot running</t>
  </si>
  <si>
    <t xml:space="preserve">  LinkedIns, all time</t>
  </si>
  <si>
    <t xml:space="preserve">Customer</t>
  </si>
  <si>
    <t xml:space="preserve">  Meetings, all time</t>
  </si>
  <si>
    <t xml:space="preserve">Lost</t>
  </si>
  <si>
    <t xml:space="preserve">  Demos, all time</t>
  </si>
  <si>
    <t xml:space="preserve">Not a fit</t>
  </si>
  <si>
    <t xml:space="preserve">  Proposals, all time</t>
  </si>
  <si>
    <t xml:space="preserve">  Others, all time</t>
  </si>
  <si>
    <t xml:space="preserve">Stop conditions (12-SYNTHESIS.md, Falsification) — decided before starting</t>
  </si>
  <si>
    <t xml:space="preserve">Condition</t>
  </si>
  <si>
    <t xml:space="preserve">Live proxy</t>
  </si>
  <si>
    <t xml:space="preserve">Now</t>
  </si>
  <si>
    <t xml:space="preserve">The list is not a pipeline. If fewer than 12 of the 37 Tier A+B firms can be reached by telephone and confirmed as trading renovation contractors, all outreach stops and the programme goes no further than re-extraction; the red team's rule is "fail experiment 1 and stop". Two thresholds from the same experiment re-sequence rather than stop: fewer than 8 of 37 with four or more live sites means the ICP band is wrong rather than the prospects, and more than 26 of those reached on an unsupported bank puts the N43 adapter ahead of every sales activity.</t>
  </si>
  <si>
    <t xml:space="preserve">A+B firms engaged (Stage past Cold call, not Lost/Not a fit) — threshold: at least 12 of 37</t>
  </si>
  <si>
    <t xml:space="preserve">The value case is not real on customer data. If the measured price spread on committed purchases is below 0.5% of third-party spend on both firms _and_ the unbilled-extras share is below 15%, then S2's captured value falls below €25,000 — a 3.9:1 value-to-price ratio, thinner than the 4.7:1 on which Phase 6 already concedes S3 — and the €540-a-month per-site price is withdrawn and the segment is not sold. A measured gestoría retainer below €250 a month for an S2 firm independently invalidates the price ceiling and Phase 6 §4 is rewritten before it is quoted again.</t>
  </si>
  <si>
    <t xml:space="preserve">Pilots running or converted — value case is measured on their data during the pilot</t>
  </si>
  <si>
    <t xml:space="preserve">The product cannot be delivered at the measured cost, on the path the customer uses. If total delivered hours on one real end-to-end onboarding exceed 40 — 2.5× the measured central of 16 — the L0 cost model, the €2,400 fee, the fee-positive finding and the 46–58% year-one margins are all false and no second pilot starts. Independently, if that firm's bank export cannot be imported without writing code, or the invoice it would actually issue does not carry the persisted rule identifier, legal basis and pack version, compliance is priced at zero in all three segments and outreach halts until the submission channel has hours and an owner. Any one of the three is a stop, not a learning.</t>
  </si>
  <si>
    <t xml:space="preserve">Firms at Demo or beyond — each one costs 8–16 engineering hours to build</t>
  </si>
  <si>
    <t xml:space="preserve">Priority rank</t>
  </si>
  <si>
    <t xml:space="preserve">Tier</t>
  </si>
  <si>
    <t xml:space="preserve">Focus</t>
  </si>
  <si>
    <t xml:space="preserve">Segment</t>
  </si>
  <si>
    <t xml:space="preserve">Legal name</t>
  </si>
  <si>
    <t xml:space="preserve">Trade name</t>
  </si>
  <si>
    <t xml:space="preserve">NIF</t>
  </si>
  <si>
    <t xml:space="preserve">CNAE</t>
  </si>
  <si>
    <t xml:space="preserve">CNAE label</t>
  </si>
  <si>
    <t xml:space="preserve">Legal form</t>
  </si>
  <si>
    <t xml:space="preserve">Municipality (verify)</t>
  </si>
  <si>
    <t xml:space="preserve">Province</t>
  </si>
  <si>
    <t xml:space="preserve">Total score</t>
  </si>
  <si>
    <t xml:space="preserve">Confidence</t>
  </si>
  <si>
    <t xml:space="preserve">Layer</t>
  </si>
  <si>
    <t xml:space="preserve">Driving requirement</t>
  </si>
  <si>
    <t xml:space="preserve">Detected triggers</t>
  </si>
  <si>
    <t xml:space="preserve">Rationale</t>
  </si>
  <si>
    <t xml:space="preserve">Why citable (Tier A)</t>
  </si>
  <si>
    <t xml:space="preserve">Fact that confirms or demotes</t>
  </si>
  <si>
    <t xml:space="preserve">Reason we lose them</t>
  </si>
  <si>
    <t xml:space="preserve">Phone</t>
  </si>
  <si>
    <t xml:space="preserve">Email</t>
  </si>
  <si>
    <t xml:space="preserve">Website</t>
  </si>
  <si>
    <t xml:space="preserve">Contact form</t>
  </si>
  <si>
    <t xml:space="preserve">LinkedIn (company)</t>
  </si>
  <si>
    <t xml:space="preserve">Contact person (published)</t>
  </si>
  <si>
    <t xml:space="preserve">Maps rating</t>
  </si>
  <si>
    <t xml:space="preserve">Source URLs</t>
  </si>
  <si>
    <t xml:space="preserve">Contact coverage</t>
  </si>
  <si>
    <t xml:space="preserve">Owner</t>
  </si>
  <si>
    <t xml:space="preserve">Stage</t>
  </si>
  <si>
    <t xml:space="preserve">Stage date</t>
  </si>
  <si>
    <t xml:space="preserve">Contact person</t>
  </si>
  <si>
    <t xml:space="preserve">Role</t>
  </si>
  <si>
    <t xml:space="preserve">Preferred language</t>
  </si>
  <si>
    <t xml:space="preserve">Trigger observed</t>
  </si>
  <si>
    <t xml:space="preserve">Last contact</t>
  </si>
  <si>
    <t xml:space="preserve">Next action due</t>
  </si>
  <si>
    <t xml:space="preserve">Notes</t>
  </si>
  <si>
    <t xml:space="preserve">Next action</t>
  </si>
  <si>
    <t xml:space="preserve">Script to use</t>
  </si>
  <si>
    <t xml:space="preserve">Exit criterion</t>
  </si>
  <si>
    <t xml:space="preserve">Probability</t>
  </si>
  <si>
    <t xml:space="preserve">ACV (€)</t>
  </si>
  <si>
    <t xml:space="preserve">Weighted (€)</t>
  </si>
  <si>
    <t xml:space="preserve">Days since last contact</t>
  </si>
  <si>
    <t xml:space="preserve">Overdue</t>
  </si>
  <si>
    <t xml:space="preserve">Status</t>
  </si>
  <si>
    <t xml:space="preserve">A</t>
  </si>
  <si>
    <t xml:space="preserve">S1</t>
  </si>
  <si>
    <t xml:space="preserve">A Barcelona Reformas SL</t>
  </si>
  <si>
    <t xml:space="preserve">A Barcelona Reformas</t>
  </si>
  <si>
    <t xml:space="preserve">B63839583</t>
  </si>
  <si>
    <t xml:space="preserve">4399</t>
  </si>
  <si>
    <t xml:space="preserve">Other specialised construction activities</t>
  </si>
  <si>
    <t xml:space="preserve">S.L.</t>
  </si>
  <si>
    <t xml:space="preserve">Barcelona</t>
  </si>
  <si>
    <t xml:space="preserve">Medium</t>
  </si>
  <si>
    <t xml:space="preserve">L0–L1</t>
  </si>
  <si>
    <t xml:space="preserve">target 43.3/43.9 finishing family</t>
  </si>
  <si>
    <t xml:space="preserve">Sector-default only; contact email is consumer webmail (QA gray-zone, verify before outreach)</t>
  </si>
  <si>
    <t xml:space="preserve">S.L. form matches the reference tenant; CNAE 4399 read as sector-confirming.</t>
  </si>
  <si>
    <t xml:space="preserve">Reachable by both phone and an owned domain, CNAE-confirmed, and broad enough branding ("A Barcelona Reformas," not a founder's surname) to suggest an established multi-job operation rather than a single-owner outfit — a stronger reference story for the segment than a firm whose name is one person's.</t>
  </si>
  <si>
    <t xml:space="preserve">04-EXTRACTION-QA.md's whole-file audit flags this row's email (barcelonareformas@yahoo.es) as the grey-zone case the GDPR posture itself anticipates — plausibly the firm's own published contact, plausibly not. A call on the phone number confirming trading status and that the yahoo address is genuinely staffed settles it either way.</t>
  </si>
  <si>
    <t xml:space="preserve">The webmail address is itself a soft signal against the sale: a firm that answers commercial enquiries from a free consumer account reads as informal at the exact moment it is being pitched a system that replaces informality with structure, and a first written approach to that address risks never being opened.</t>
  </si>
  <si>
    <t xml:space="preserve">932473304</t>
  </si>
  <si>
    <t xml:space="preserve">barcelonareformas@yahoo.es</t>
  </si>
  <si>
    <t xml:space="preserve">http://www.reformasbarcelona.info</t>
  </si>
  <si>
    <t xml:space="preserve">https://empresite.eleconomista.es/BARCELONA-REFORMAS.html, https://infonif.economia3.com/ficha-empresa/a-barcelona-reformas-sl, https://www.axesor.es/Informes-Empresas/3168764/A_BARCELONA_REFORMAS_SL.html, https://www.einforma.com/informacion-empresa/barcelona-reformas, https://www.infoconstruccion.es/empresas/a-barcelona-reformas</t>
  </si>
  <si>
    <t xml:space="preserve">S2</t>
  </si>
  <si>
    <t xml:space="preserve">Delgado &amp; Dilla Construccions I Reformes Integrals SL</t>
  </si>
  <si>
    <t xml:space="preserve">Delgado &amp; Dilla Construccions I Reformes Integrals</t>
  </si>
  <si>
    <t xml:space="preserve">B64090798</t>
  </si>
  <si>
    <t xml:space="preserve">4101</t>
  </si>
  <si>
    <t xml:space="preserve">Construction of buildings (developer-builder)</t>
  </si>
  <si>
    <t xml:space="preserve">Mollet del Vallès</t>
  </si>
  <si>
    <t xml:space="preserve">renovation-led 41.2 general construction</t>
  </si>
  <si>
    <t xml:space="preserve">Sector-default only (Verifactu 2027 + quarterly filing cycle; no firm-specific signal in this extraction)</t>
  </si>
  <si>
    <t xml:space="preserve">S.L. form matches the reference tenant; CNAE 4101 read as sector-confirming.</t>
  </si>
  <si>
    <t xml:space="preserve">Registry-verifiable and CNAE-confirmed like the rest of this cohort, but its registered name is written in Catalan ("Construccions I Reformes Integrals," not the Spanish "Construcciones Y Reformas") — the only one of 128 rows where this is true. legal_name is the one field this audit trusts at 0% error, so this is a genuinely observed fact, not an inference, even though it cannot be scored against the rubric's Cultural dimension without a live conversation.</t>
  </si>
  <si>
    <t xml:space="preserve">Whether legally binding customer documents must themselves be issued in Catalan — which, if so, triggers the rubric's Catalan-reviewer soft cap (§A.5, soft gate 10) at 80 points, a fact worth knowing before pricing rather than after a contract is signed.</t>
  </si>
  <si>
    <t xml:space="preserve">No contact channel of any kind was recovered; a Catalan-first, two-partner firm this size is easy to reach once found, but nothing in this extraction provides the way in.</t>
  </si>
  <si>
    <t xml:space="preserve">https://www.einforma.com/informacion-empresa/delgado-dilla-construccions-reformes-integrals</t>
  </si>
  <si>
    <t xml:space="preserve">Edificaciones Y Reformas Mollet 2000 SL</t>
  </si>
  <si>
    <t xml:space="preserve">Edificaciones Y Reformas Mollet 2000</t>
  </si>
  <si>
    <t xml:space="preserve">B62393517</t>
  </si>
  <si>
    <t xml:space="preserve">4121</t>
  </si>
  <si>
    <t xml:space="preserve">Construction of residential buildings</t>
  </si>
  <si>
    <t xml:space="preserve">Sector-default only; email field duplicates phone (known extraction defect, QA)</t>
  </si>
  <si>
    <t xml:space="preserve">S.L. form matches the reference tenant; CNAE 4121 read as sector-confirming.</t>
  </si>
  <si>
    <t xml:space="preserve">Registry-verifiable, CNAE-confirmed renovation-led general construction, and a "2000" in the trading name consistent with two and a half decades of trading — an established-SME story, not a two-year-old shell, if the implied founding year holds up.</t>
  </si>
  <si>
    <t xml:space="preserve">04-EXTRACTION-QA.md's mechanical pass caught this exact row's email field holding the same nine digits as its own phone field — a data-entry defect, not a real address. A single call resolves the correct contact channel and confirms current trading status in one step.</t>
  </si>
  <si>
    <t xml:space="preserve">The outreach data itself is the risk here, not the firm: a call to a phone number that has since been reassigned or discontinued is the most likely way this one drops out of the pipeline before anyone at the firm is reached.</t>
  </si>
  <si>
    <t xml:space="preserve">935702566</t>
  </si>
  <si>
    <t xml:space="preserve">https://www.einforma.com/informacion-empresa/edificaciones-reformas-mollet-2000</t>
  </si>
  <si>
    <t xml:space="preserve">Gonzvilarsa S.L.</t>
  </si>
  <si>
    <t xml:space="preserve">Gonzvilarsa</t>
  </si>
  <si>
    <t xml:space="preserve">B66865254</t>
  </si>
  <si>
    <t xml:space="preserve">Sant Joan Despí</t>
  </si>
  <si>
    <t xml:space="preserve">The best-evidenced row in the entire extraction: CNAE confirmed inside the 43.9x finishing family, S.L., a NIF whose B-prefix is consistent with that form, and — uniquely among the top scorers — an owned domain (gonzvilarsa.com) carrying a working contact email rather than a marketplace listing or a directory mirror. That is the one combination in this list that lets a first outreach start from the firm's own material rather than a registry stub.</t>
  </si>
  <si>
    <t xml:space="preserve">A quotation sample or a first call establishing the operations/administration split (02-ICP-AND-RUBRIC.md A.4.2), current job count, and quoting method. Demoted if the domain turns out to be a lead-generation or reseller front rather than an operating contractor with its own crews, or if a live incumbent accounting package surfaces (hard gate 4).</t>
  </si>
  <si>
    <t xml:space="preserve">The contact email is generic (contacto@…), not addressed to a named person; a cold message to a shared inbox at a firm this size is the easiest kind of outreach to lose to silence.</t>
  </si>
  <si>
    <t xml:space="preserve">639648153</t>
  </si>
  <si>
    <t xml:space="preserve">contacto@gonzvilarsa.com</t>
  </si>
  <si>
    <t xml:space="preserve">https://gonzvilarsa.com</t>
  </si>
  <si>
    <t xml:space="preserve">https://gonzvilarsa.com/contacto</t>
  </si>
  <si>
    <t xml:space="preserve">https://empresite.eleconomista.es/GONZVILARSA.html, https://gonzvilarsa.com/contacto, https://gonzvilarsa.com/sobre-nosotros/, https://www.einforma.com/informacion-empresa/gonzvilarsa</t>
  </si>
  <si>
    <t xml:space="preserve">Instalaciones Y Reformas De Calidad SL</t>
  </si>
  <si>
    <t xml:space="preserve">Instalaciones Y Reformas De Calidad</t>
  </si>
  <si>
    <t xml:space="preserve">B65923849</t>
  </si>
  <si>
    <t xml:space="preserve">Badalona</t>
  </si>
  <si>
    <t xml:space="preserve">Registry-verifiable, CNAE lands inside the target finishing family, and it extends the cohort's geography into the Barcelonès coastal belt (if the unverified municipality holds), which the rest of Tier A does not otherwise cover.</t>
  </si>
  <si>
    <t xml:space="preserve">The word "Instalaciones" in the trading name against a 43.99 "other specialised construction" code is exactly the ambiguity Phase 2 §A.5 hard gate 5 warns about: a single revenue-mix question — project work versus recurring maintenance contracts — resolves whether this is a genuine Tier A finishing firm or an installer that should sit in the Tier C pack below.</t>
  </si>
  <si>
    <t xml:space="preserve">The same ambiguity that makes this firm worth including is the reason it could be lost badly rather than cleanly: skipping the revenue-mix question and discovering the maintenance majority only after a contract is signed is precisely the failure mode the hard gate exists to prevent.</t>
  </si>
  <si>
    <t xml:space="preserve">935334170</t>
  </si>
  <si>
    <t xml:space="preserve">irc@irc-sl.com</t>
  </si>
  <si>
    <t xml:space="preserve">http://irc-sl.com</t>
  </si>
  <si>
    <t xml:space="preserve">http://irc-sl.com/1/contactos_478106.html</t>
  </si>
  <si>
    <t xml:space="preserve">http://irc-sl.com/1/contactos_478106.html, https://www.cylex.es/badalona/instalaciones-y-reformas-de-calidad--s-l--13448547.html, https://www.einforma.com/informacion-empresa/instalaciones-reformas-calidad</t>
  </si>
  <si>
    <t xml:space="preserve">Reformas Lluca Les Corts SL</t>
  </si>
  <si>
    <t xml:space="preserve">Reformas Lluca Les Corts</t>
  </si>
  <si>
    <t xml:space="preserve">B65982332</t>
  </si>
  <si>
    <t xml:space="preserve">Sabadell</t>
  </si>
  <si>
    <t xml:space="preserve">Registry-verifiable, CNAE-confirmed, and — if the unverified municipality holds — the westernmost firm in the cohort, giving Tier A geographic spread into the Vallès Occidental rather than a cluster around Barcelonès/Baix Llobregat alone. A reference here is an additive proof point, not a restatement of the other six.</t>
  </si>
  <si>
    <t xml:space="preserve">The name pairs a Barcelona-city neighbourhood ("Les Corts") with a Sabadell registration — worth a direct registry check on its own terms, given that 04-EXTRACTION-QA.md found exactly this shape of name/location mismatch twice already in this file (rows 67 and 110).</t>
  </si>
  <si>
    <t xml:space="preserve">No contact channel was recovered, compounded by the naming mismatch above: this is a firm to verify by registry pull before a call is placed, not after.  ---</t>
  </si>
  <si>
    <t xml:space="preserve">936241432</t>
  </si>
  <si>
    <t xml:space="preserve">https://www.einforma.com/informacion-empresa/reformas-lluca-corts</t>
  </si>
  <si>
    <t xml:space="preserve">Reformas Y Construcciones Montcada SL</t>
  </si>
  <si>
    <t xml:space="preserve">Reformas Y Construcciones Montcada</t>
  </si>
  <si>
    <t xml:space="preserve">B09675620</t>
  </si>
  <si>
    <t xml:space="preserve">Montcada i Reixac</t>
  </si>
  <si>
    <t xml:space="preserve">CNAE-confirmed target sector, S.L., NIF present, and two populated (unweighted, unaudited) context fields — employees_band "1–9" and revenue_band_eur "&lt;1M" — that sit exactly on the ICP's lower edge, where Phase 1 §4.3 says thirty firms scored either side would settle the sweet-spot boundary cheaply. This is that boundary case, found rather than constructed.</t>
  </si>
  <si>
    <t xml:space="preserve">Current simultaneous job count, not headcount — Phase 2 §A.1 treats a 5–7-employee firm running three or more jobs at once as acceptable, and the same headcount running one or two jobs as below the serving floor. Job count, not the employee band, is the fact that decides which side of the line this firm sits on.</t>
  </si>
  <si>
    <t xml:space="preserve">No phone, email or website was recovered for this row at all; outreach depends entirely on a registered name and address, the slowest channel available and the one most likely to stall before contact is made.</t>
  </si>
  <si>
    <t xml:space="preserve">https://reformasycontruccionesmontcada.es/es_es/</t>
  </si>
  <si>
    <t xml:space="preserve">https://reformasycontruccionesmontcada.es/es_es/, https://www.axesor.es/Informes-Empresas/10469769/REFORMAS_Y_CONSTRUCCIONES_MONTCADA_SL.html, https://www.einforma.com/informacion-empresa/reformas-construcciones-montcada</t>
  </si>
  <si>
    <t xml:space="preserve">B</t>
  </si>
  <si>
    <t xml:space="preserve">Aislamientos Gramanet SL</t>
  </si>
  <si>
    <t xml:space="preserve">Aislamientos Gramanet</t>
  </si>
  <si>
    <t xml:space="preserve">4342</t>
  </si>
  <si>
    <t xml:space="preserve">Division 43 — specialised construction</t>
  </si>
  <si>
    <t xml:space="preserve">Santa Coloma de Gramenet</t>
  </si>
  <si>
    <t xml:space="preserve">S.L. form matches the reference tenant; CNAE 4342 read as sector-confirming.</t>
  </si>
  <si>
    <t xml:space="preserve">No differentiator over the Tier A cohort beyond order of contact — pure reachability risk: someone calls it before we do, or the CNAE/legal-form match turns out wrong on registry check</t>
  </si>
  <si>
    <t xml:space="preserve">933918025</t>
  </si>
  <si>
    <t xml:space="preserve">aisgrasl@gmail.com</t>
  </si>
  <si>
    <t xml:space="preserve">https://www.aisgrasl.es</t>
  </si>
  <si>
    <t xml:space="preserve">https://empresite.eleconomista.es/AISLAMIENTOS-GRAMANET.html, https://www.aisgrasl.es/, https://www.einforma.com/informacion-empresa/aislamientos-gramanet</t>
  </si>
  <si>
    <t xml:space="preserve">Arquitectura Y Konstruccion De Obras Barcelona SL</t>
  </si>
  <si>
    <t xml:space="preserve">Arquitectura Y Konstruccion</t>
  </si>
  <si>
    <t xml:space="preserve">4100</t>
  </si>
  <si>
    <t xml:space="preserve">Division 41 — building construction</t>
  </si>
  <si>
    <t xml:space="preserve">S.L. form matches the reference tenant; CNAE 4100 read as sector-confirming.</t>
  </si>
  <si>
    <t xml:space="preserve">934106705</t>
  </si>
  <si>
    <t xml:space="preserve">arkobcn@arkobcn.com</t>
  </si>
  <si>
    <t xml:space="preserve">https://arkobcn.com</t>
  </si>
  <si>
    <t xml:space="preserve">https://arkobcn.com/contacto/</t>
  </si>
  <si>
    <t xml:space="preserve">https://www.linkedin.com/company/arkobcn</t>
  </si>
  <si>
    <t xml:space="preserve">https://arkobcn.com/contacto/, https://es.linkedin.com/company/arkobcn, https://ranking-empresas.eleconomista.es/ARQUITECTURA-KONSTRUCCION-OBRAS-BARCELONA.html, https://www.einforma.com/informacion-empresa/arquitectura-konstruccion-obras-barcelona</t>
  </si>
  <si>
    <t xml:space="preserve">BCN Portal Reformas SL</t>
  </si>
  <si>
    <t xml:space="preserve">BCN Portal Reformas</t>
  </si>
  <si>
    <t xml:space="preserve">https://www.einforma.com/informacion-empresa/bcn-portal-reformas</t>
  </si>
  <si>
    <t xml:space="preserve">CARMAREFOR S.L.</t>
  </si>
  <si>
    <t xml:space="preserve">Carmarefor</t>
  </si>
  <si>
    <t xml:space="preserve">Sant Feliu de Llobregat</t>
  </si>
  <si>
    <t xml:space="preserve">931295839</t>
  </si>
  <si>
    <t xml:space="preserve">carma.refor@hotmail.es</t>
  </si>
  <si>
    <t xml:space="preserve">https://www.einforma.com/informacion-empresa/carmarefor, https://www.houzz.es/profesionales/empresas-de-reformas/carmarefor-sl-pfvwes-pf~505590728</t>
  </si>
  <si>
    <t xml:space="preserve">Construcciones Gramasat SL</t>
  </si>
  <si>
    <t xml:space="preserve">Construcciones Gramasat</t>
  </si>
  <si>
    <t xml:space="preserve">B63763551</t>
  </si>
  <si>
    <t xml:space="preserve">4102</t>
  </si>
  <si>
    <t xml:space="preserve">S.L. form matches the reference tenant; CNAE 4102 read as sector-confirming.</t>
  </si>
  <si>
    <t xml:space="preserve">https://infonif.economia3.com/ficha-empresa/construcciones-gramasat-sl, https://www.einforma.com/informacion-empresa/construcciones-gramasat</t>
  </si>
  <si>
    <t xml:space="preserve">Construcciones Reformas Y Servicios Mataro SL</t>
  </si>
  <si>
    <t xml:space="preserve">Construcciones Reformas Y Servicios Mataro</t>
  </si>
  <si>
    <t xml:space="preserve">B67185942</t>
  </si>
  <si>
    <t xml:space="preserve">Mataró</t>
  </si>
  <si>
    <t xml:space="preserve">https://empresite.eleconomista.es/CONSTRUCCIONES-REFORMAS-SERVICIOS-MATARO.html</t>
  </si>
  <si>
    <t xml:space="preserve">Construcciones y Reformas Bonilla S.L.</t>
  </si>
  <si>
    <t xml:space="preserve">Construcciones y Reformas Bonilla</t>
  </si>
  <si>
    <t xml:space="preserve">B63037907</t>
  </si>
  <si>
    <t xml:space="preserve">Esplugues de Llobregat</t>
  </si>
  <si>
    <t xml:space="preserve">https://www.einforma.com/informacion-empresa/construcciones-reformas-bonilla</t>
  </si>
  <si>
    <t xml:space="preserve">Construcciones Y Reformas Decorhogar SL</t>
  </si>
  <si>
    <t xml:space="preserve">Construcciones Y Reformas Decorhogar</t>
  </si>
  <si>
    <t xml:space="preserve">Granollers</t>
  </si>
  <si>
    <t xml:space="preserve">938796333</t>
  </si>
  <si>
    <t xml:space="preserve">https://www.einforma.com/informacion-empresa/construcciones-reformas-decorhogar, https://www.vipreformas.es/empresa/decorhogar/fa14ace7b3ae2d7e7ee6f1bc3129fbec/</t>
  </si>
  <si>
    <t xml:space="preserve">Construmed Bcn SL</t>
  </si>
  <si>
    <t xml:space="preserve">Construmed Bcn</t>
  </si>
  <si>
    <t xml:space="preserve">https://infonif.economia3.com/ficha-empresa/construmed-bcn-sl, https://www.einforma.com/informacion-empresa/construmed-bcn</t>
  </si>
  <si>
    <t xml:space="preserve">Derribos Y Reformas Terrassa SL</t>
  </si>
  <si>
    <t xml:space="preserve">Derribos Y Reformas Terrassa</t>
  </si>
  <si>
    <t xml:space="preserve">41</t>
  </si>
  <si>
    <t xml:space="preserve">Terrassa</t>
  </si>
  <si>
    <t xml:space="preserve">S.L. form matches the reference tenant; CNAE 41 read as sector-confirming.</t>
  </si>
  <si>
    <t xml:space="preserve">https://www.axesor.es/Informes-Empresas/9423521/DERRIBOS_Y_REFORMAS_TERRASSA_SL.html, https://www.einforma.com/informacion-empresa/derribos-reformas-terrassa</t>
  </si>
  <si>
    <t xml:space="preserve">Estudios-Reformas Y Mantenimientos SL</t>
  </si>
  <si>
    <t xml:space="preserve">Estudios-Reformas Y Mantenimientos</t>
  </si>
  <si>
    <t xml:space="preserve">934511465</t>
  </si>
  <si>
    <t xml:space="preserve">https://www.einforma.com/informacion-empresa/estudios-reformas-mantenimientos</t>
  </si>
  <si>
    <t xml:space="preserve">JV Reformas En General SL</t>
  </si>
  <si>
    <t xml:space="preserve">JV Reformas En General</t>
  </si>
  <si>
    <t xml:space="preserve">B44928752</t>
  </si>
  <si>
    <t xml:space="preserve">https://www.einforma.com/informacion-empresa/jv-reformas-general</t>
  </si>
  <si>
    <t xml:space="preserve">LEM Reforma de Espacios S.L.</t>
  </si>
  <si>
    <t xml:space="preserve">LEM Reforma de Espacios</t>
  </si>
  <si>
    <t xml:space="preserve">L'Hospitalet de Llobregat</t>
  </si>
  <si>
    <t xml:space="preserve">https://www.einforma.com/informacion-empresa/lem-reforma-espacios</t>
  </si>
  <si>
    <t xml:space="preserve">NALSUR Reformas S.L.</t>
  </si>
  <si>
    <t xml:space="preserve">NALSUR</t>
  </si>
  <si>
    <t xml:space="preserve">B01723030</t>
  </si>
  <si>
    <t xml:space="preserve">Cornellà de Llobregat</t>
  </si>
  <si>
    <t xml:space="preserve">https://infonif.economia3.com/ficha-empresa/nalsur-reformas-sl, https://www.einforma.com/informacion-empresa/nalsur-reformas</t>
  </si>
  <si>
    <t xml:space="preserve">Obralia Reformas Integrales S.L.</t>
  </si>
  <si>
    <t xml:space="preserve">Obralia Reformas Integrales</t>
  </si>
  <si>
    <t xml:space="preserve">B22605273</t>
  </si>
  <si>
    <t xml:space="preserve">https://www.einforma.com/informacion-empresa/obralia-reformas-integrales</t>
  </si>
  <si>
    <t xml:space="preserve">Reformas Garriga De Finques Fornell SL</t>
  </si>
  <si>
    <t xml:space="preserve">Reformas Garriga De Finques Fornell</t>
  </si>
  <si>
    <t xml:space="preserve">4335</t>
  </si>
  <si>
    <t xml:space="preserve">S.L. form matches the reference tenant; CNAE 4335 read as sector-confirming.</t>
  </si>
  <si>
    <t xml:space="preserve">938404842</t>
  </si>
  <si>
    <t xml:space="preserve">https://www.einforma.com/informacion-empresa/reformas-garriga-finques-fornell, https://www.paginasamarillas.es/f/bellavista/reformes-garriga-de-finques-fornell_202517280_000000001.html</t>
  </si>
  <si>
    <t xml:space="preserve">Reformas Gracia SL</t>
  </si>
  <si>
    <t xml:space="preserve">Reformas Gracia</t>
  </si>
  <si>
    <t xml:space="preserve">937459104</t>
  </si>
  <si>
    <t xml:space="preserve">https://www.einforma.com/informacion-empresa/reformas-gracia</t>
  </si>
  <si>
    <t xml:space="preserve">Reformas Y Acabados Zenit SL</t>
  </si>
  <si>
    <t xml:space="preserve">Reformas Y Acabados Zenit</t>
  </si>
  <si>
    <t xml:space="preserve">B63379713</t>
  </si>
  <si>
    <t xml:space="preserve">https://www.axesor.es/Informes-Empresas/7807623/ZENIT_REFORMES_I_REHABILITACIONS_SOCIEDAD_LIMITADA.html, https://www.einforma.com/informacion-empresa/reformas-acabados-zenit</t>
  </si>
  <si>
    <t xml:space="preserve">Reformas Y Pinturas Barcelona SL</t>
  </si>
  <si>
    <t xml:space="preserve">Reformas Y Pinturas Barcelona</t>
  </si>
  <si>
    <t xml:space="preserve">4339</t>
  </si>
  <si>
    <t xml:space="preserve">Other building completion and finishing</t>
  </si>
  <si>
    <t xml:space="preserve">S.L. form matches the reference tenant; CNAE 4339 read as sector-confirming.</t>
  </si>
  <si>
    <t xml:space="preserve">https://www.einforma.com/informacion-empresa/reformas-pinturas-barcelona</t>
  </si>
  <si>
    <t xml:space="preserve">REFORMES LAP GRUP NOVA CASA S.L.</t>
  </si>
  <si>
    <t xml:space="preserve">Reformes LAP Grup Nova Casa</t>
  </si>
  <si>
    <t xml:space="preserve">https://www.einforma.com/informacion-empresa/reformes-lap-grup-nova-casa</t>
  </si>
  <si>
    <t xml:space="preserve">Reformes N.V.A. SL</t>
  </si>
  <si>
    <t xml:space="preserve">Reformes N.V.A.</t>
  </si>
  <si>
    <t xml:space="preserve">B66449034</t>
  </si>
  <si>
    <t xml:space="preserve">930104337</t>
  </si>
  <si>
    <t xml:space="preserve">info@nvareformes.com</t>
  </si>
  <si>
    <t xml:space="preserve">https://www.nvareformes.es</t>
  </si>
  <si>
    <t xml:space="preserve">https://www.comarcaactiva.com/mollet-del-valles/nva-reformas, https://www.einforma.com/informacion-empresa/reformes-nva, https://www.puntosona.cat/guia-comercial/5956/nva-reformas-mollet-del-mollet</t>
  </si>
  <si>
    <t xml:space="preserve">Reformes Vic 58 SL</t>
  </si>
  <si>
    <t xml:space="preserve">Reformes Vic 58</t>
  </si>
  <si>
    <t xml:space="preserve">Vic</t>
  </si>
  <si>
    <t xml:space="preserve">https://empresite.eleconomista.es/REFORMES-VIC-58.html</t>
  </si>
  <si>
    <t xml:space="preserve">Reparaciones Y Obras Molins RJ S.L.</t>
  </si>
  <si>
    <t xml:space="preserve">Reparaciones Y Obras Molins RJ</t>
  </si>
  <si>
    <t xml:space="preserve">Molins de Rei</t>
  </si>
  <si>
    <t xml:space="preserve">936803674</t>
  </si>
  <si>
    <t xml:space="preserve">administración@bcrhabitat.es</t>
  </si>
  <si>
    <t xml:space="preserve">https://www.einforma.com/informacion-empresa/reparaciones-obras-molins-rj</t>
  </si>
  <si>
    <t xml:space="preserve">Reparaciones Y Reformas Badalona SL</t>
  </si>
  <si>
    <t xml:space="preserve">Reparaciones Y Reformas Badalona</t>
  </si>
  <si>
    <t xml:space="preserve">B67396820</t>
  </si>
  <si>
    <t xml:space="preserve">https://www.einforma.com/informacion-empresa/reparaciones-reformas-badalona</t>
  </si>
  <si>
    <t xml:space="preserve">Construccions Castelldefels S.A.</t>
  </si>
  <si>
    <t xml:space="preserve">Construccions Castelldefels</t>
  </si>
  <si>
    <t xml:space="preserve">A08213530</t>
  </si>
  <si>
    <t xml:space="preserve">S.A.</t>
  </si>
  <si>
    <t xml:space="preserve">Castelldefels</t>
  </si>
  <si>
    <t xml:space="preserve">S.A. form, acceptable only if small; CNAE 4121 read as sector-confirming.</t>
  </si>
  <si>
    <t xml:space="preserve">Administrative distance from the S.L. reference form (governance/liability question the pitch has to answer first)</t>
  </si>
  <si>
    <t xml:space="preserve">932150226</t>
  </si>
  <si>
    <t xml:space="preserve">http://www.construccionscastelldefels.com</t>
  </si>
  <si>
    <t xml:space="preserve">https://www.einforma.com/informacion-empresa/construccions-castelldefels, https://www.paginasamarillas.es/f/barcelona/construccions-castelldefels-sa_200746600_000000001.html</t>
  </si>
  <si>
    <t xml:space="preserve">S3</t>
  </si>
  <si>
    <t xml:space="preserve">Construcciones Reycons S.C.C.L.</t>
  </si>
  <si>
    <t xml:space="preserve">Construcciones Reycons</t>
  </si>
  <si>
    <t xml:space="preserve">4341</t>
  </si>
  <si>
    <t xml:space="preserve">S.C.C.L.</t>
  </si>
  <si>
    <t xml:space="preserve">Sant Cugat del Vallès</t>
  </si>
  <si>
    <t xml:space="preserve">cooperative form — dispersed-governance anchor applies; CNAE 4341 read as sector-confirming.</t>
  </si>
  <si>
    <t xml:space="preserve">935441671</t>
  </si>
  <si>
    <t xml:space="preserve">https://www.einforma.com/informacion-empresa/construcciones-reycons</t>
  </si>
  <si>
    <t xml:space="preserve">Estructuras Rubi S.C.P.</t>
  </si>
  <si>
    <t xml:space="preserve">Estructuras Rubi</t>
  </si>
  <si>
    <t xml:space="preserve">S.C.P.</t>
  </si>
  <si>
    <t xml:space="preserve">Rubí</t>
  </si>
  <si>
    <t xml:space="preserve">civil-partnership form, distant from the S.L. reference; CNAE 4399 read as sector-confirming.</t>
  </si>
  <si>
    <t xml:space="preserve">https://www.einforma.com/informacion-empresa/estructuras-rubi</t>
  </si>
  <si>
    <t xml:space="preserve">Grupo Mg Reformas Baix Llobregat S.C.P.</t>
  </si>
  <si>
    <t xml:space="preserve">Grupo Mg Reformas Baix Llobregat</t>
  </si>
  <si>
    <t xml:space="preserve">J67590273</t>
  </si>
  <si>
    <t xml:space="preserve">civil-partnership form, distant from the S.L. reference; CNAE 4101 read as sector-confirming.</t>
  </si>
  <si>
    <t xml:space="preserve">https://jobtoday.com/es/company/reformas-integrales-en-general-mg-reformas-baix-ll-WrjAg5, https://www.axesor.es/Informes-Empresas/10434362/GRUPO_MG_REFORMAS_BAIX_LLOBREGAT_SCP.html, https://www.einforma.com/informacion-empresa/grupo-mg-reformas-baix-llobregat</t>
  </si>
  <si>
    <t xml:space="preserve">J &amp; E Reformas Mollet S.C.P.</t>
  </si>
  <si>
    <t xml:space="preserve">J &amp; E Reformas Mollet</t>
  </si>
  <si>
    <t xml:space="preserve">J64615891</t>
  </si>
  <si>
    <t xml:space="preserve">https://www.einforma.com/informacion-empresa/je-reformas-mollet</t>
  </si>
  <si>
    <t xml:space="preserve">Reformas Lizarran S.C.P.</t>
  </si>
  <si>
    <t xml:space="preserve">Reformas Lizarran</t>
  </si>
  <si>
    <t xml:space="preserve">J64592900</t>
  </si>
  <si>
    <t xml:space="preserve">https://www.einforma.com/informacion-empresa/reformas-lizarran</t>
  </si>
  <si>
    <t xml:space="preserve">C</t>
  </si>
  <si>
    <t xml:space="preserve">FM&amp;M Reformas E Instalaciones S.L.</t>
  </si>
  <si>
    <t xml:space="preserve">FM&amp;M Reformas E Instalaciones</t>
  </si>
  <si>
    <t xml:space="preserve">4324</t>
  </si>
  <si>
    <t xml:space="preserve">L1</t>
  </si>
  <si>
    <t xml:space="preserve">43.2x installer family — maintenance-mix unknown</t>
  </si>
  <si>
    <t xml:space="preserve">Installer-coded (CNAE or name); project-work chapters transfer, but a maintenance-revenue share (unconfirmed) forces a recurring-contract object the vertical layer lacks.</t>
  </si>
  <si>
    <t xml:space="preserve">Investment case — Pack 1 — a recurring-contract and work-order capability for project-led installers (8 firms)</t>
  </si>
  <si>
    <t xml:space="preserve">https://www.einforma.com/informacion-empresa/fm-m-reformas-instalaciones</t>
  </si>
  <si>
    <t xml:space="preserve">Instalaciones Y Reformas Serrano SL</t>
  </si>
  <si>
    <t xml:space="preserve">Instalaciones Y Reformas Serrano</t>
  </si>
  <si>
    <t xml:space="preserve">B60789930</t>
  </si>
  <si>
    <t xml:space="preserve">4321</t>
  </si>
  <si>
    <t xml:space="preserve">Electrical installation</t>
  </si>
  <si>
    <t xml:space="preserve">https://www.einforma.com/informacion-empresa/instalaciones-reformas-serrano</t>
  </si>
  <si>
    <t xml:space="preserve">Proyectos Y Excavaciones Rubi S.L.</t>
  </si>
  <si>
    <t xml:space="preserve">Proyectos Y Excavaciones Rubi</t>
  </si>
  <si>
    <t xml:space="preserve">4312</t>
  </si>
  <si>
    <t xml:space="preserve">Site preparation</t>
  </si>
  <si>
    <t xml:space="preserve">43.1x demolition/site-prep — enabling trade, not full quote spine</t>
  </si>
  <si>
    <t xml:space="preserve">CNAE 43.12 site-preparation/demolition is an enabling trade, not the chaptered-quote spine the product is built around.</t>
  </si>
  <si>
    <t xml:space="preserve">Investment case — Pack 2 — a civil-engineering and site-preparation bridge (2 firms; recommend against investment)</t>
  </si>
  <si>
    <t xml:space="preserve">https://www.einforma.com/informacion-empresa/proyectos-excavaciones-rubi</t>
  </si>
  <si>
    <t xml:space="preserve">Reformas Barcelona Low Cost SL</t>
  </si>
  <si>
    <t xml:space="preserve">Reformas Barcelona Low Cost</t>
  </si>
  <si>
    <t xml:space="preserve">B65314726</t>
  </si>
  <si>
    <t xml:space="preserve">4329</t>
  </si>
  <si>
    <t xml:space="preserve">Other construction installation</t>
  </si>
  <si>
    <t xml:space="preserve">Sector-default only; review_count=355 (unweighted, possible high-volume/low-ticket profile)</t>
  </si>
  <si>
    <t xml:space="preserve">936024861</t>
  </si>
  <si>
    <t xml:space="preserve">https://empresite.eleconomista.es/REFORMAS-BARCELONA-LOW-COST.html, https://infonif.economia3.com/ficha-empresa/reformas-barcelona-low-cost-sl, https://www.einforma.com/informacion-empresa/reformas-barcelona-low-cost</t>
  </si>
  <si>
    <t xml:space="preserve">Reformas El Masnou SL</t>
  </si>
  <si>
    <t xml:space="preserve">Reformas El Masnou</t>
  </si>
  <si>
    <t xml:space="preserve">El Masnou</t>
  </si>
  <si>
    <t xml:space="preserve">935647867</t>
  </si>
  <si>
    <t xml:space="preserve">https://www.einforma.com/informacion-empresa/reformas-masnou</t>
  </si>
  <si>
    <t xml:space="preserve">Terramajor Reformas Y Construcciones SL</t>
  </si>
  <si>
    <t xml:space="preserve">Terramajor Reformas Y Construcciones</t>
  </si>
  <si>
    <t xml:space="preserve">B66511270</t>
  </si>
  <si>
    <t xml:space="preserve">https://www.einforma.com/informacion-empresa/terramajor-reformas-construcciones</t>
  </si>
  <si>
    <t xml:space="preserve">Instalaciones Y Reformas Megar SL</t>
  </si>
  <si>
    <t xml:space="preserve">Instalaciones Y Reformas Megar</t>
  </si>
  <si>
    <t xml:space="preserve">Low</t>
  </si>
  <si>
    <t xml:space="preserve">name-inferred installer — no CNAE</t>
  </si>
  <si>
    <t xml:space="preserve">https://empresite.eleconomista.es/4PEOPLE-MEDIA.html</t>
  </si>
  <si>
    <t xml:space="preserve">Instalmar Castelldefels S.L.</t>
  </si>
  <si>
    <t xml:space="preserve">Instalmar Castelldefels</t>
  </si>
  <si>
    <t xml:space="preserve">https://www.einforma.com/informacion-empresa/instalmar-castelldefels</t>
  </si>
  <si>
    <t xml:space="preserve">Izquierdo Instalaciones Y Reformas S.L.</t>
  </si>
  <si>
    <t xml:space="preserve">Izquierdo Instalaciones Y Reformas</t>
  </si>
  <si>
    <t xml:space="preserve">B66777459</t>
  </si>
  <si>
    <t xml:space="preserve">933381548</t>
  </si>
  <si>
    <t xml:space="preserve">http://www.reformasizquierdo.com</t>
  </si>
  <si>
    <t xml:space="preserve">https://infonif.economia3.com/ficha-empresa/izquierdo-instalaciones-y-reformas-sl, https://www.einforma.com/informacion-empresa/izquierdo-instalaciones-reformas</t>
  </si>
  <si>
    <t xml:space="preserve">Binder Meridian SL</t>
  </si>
  <si>
    <t xml:space="preserve">Binder Meridian</t>
  </si>
  <si>
    <t xml:space="preserve">L2</t>
  </si>
  <si>
    <t xml:space="preserve">QA found this entity to be a real-estate business, not a reformas/construction contractor.</t>
  </si>
  <si>
    <t xml:space="preserve">Investment case — Pack 3 — a promoción/real-estate capability (3 firms; recommend against investment)</t>
  </si>
  <si>
    <t xml:space="preserve">https://www.einforma.com/informacion-empresa/binder-meridian</t>
  </si>
  <si>
    <t xml:space="preserve">Group Arfil SL</t>
  </si>
  <si>
    <t xml:space="preserve">Group Arfil</t>
  </si>
  <si>
    <t xml:space="preserve">https://www.einforma.com/informacion-empresa/group-arfil</t>
  </si>
  <si>
    <t xml:space="preserve">Reforma Integral Granollers Interiorisme SL</t>
  </si>
  <si>
    <t xml:space="preserve">Reforma Integral Granollers Interiorisme</t>
  </si>
  <si>
    <t xml:space="preserve">4755</t>
  </si>
  <si>
    <t xml:space="preserve">CNAE 47.55 is retail trade (household furnishings), not a construction contractor.</t>
  </si>
  <si>
    <t xml:space="preserve">https://www.einforma.com/informacion-empresa/reforma-integral-granollers-interiorisme</t>
  </si>
  <si>
    <t xml:space="preserve">Rubinense De Albañileria Y Construcciones S.L.</t>
  </si>
  <si>
    <t xml:space="preserve">Rubinense De Albañileria Y Construcciones</t>
  </si>
  <si>
    <t xml:space="preserve">4299</t>
  </si>
  <si>
    <t xml:space="preserve">42.x civil engineering — excluded segment per ICP A.1</t>
  </si>
  <si>
    <t xml:space="preserve">CNAE 42.99 (civil engineering) sits outside the ICP's construction-CNAE band; name suggests masonry, so this may be a mis-registration.</t>
  </si>
  <si>
    <t xml:space="preserve">https://www.einforma.com/informacion-empresa/rubinense-albanileria-construcciones</t>
  </si>
  <si>
    <t xml:space="preserve">D</t>
  </si>
  <si>
    <t xml:space="preserve">CONIFER S.A.</t>
  </si>
  <si>
    <t xml:space="preserve">Conifer</t>
  </si>
  <si>
    <t xml:space="preserve">S.A. form, acceptable only if small; CNAE 4399 read as sector-confirming.</t>
  </si>
  <si>
    <t xml:space="preserve">Declined — Thin, isolated signal</t>
  </si>
  <si>
    <t xml:space="preserve">https://www.einforma.com/informacion-empresa/conifer</t>
  </si>
  <si>
    <t xml:space="preserve">A Y D Construcciones Y Reformas Sabadell SL</t>
  </si>
  <si>
    <t xml:space="preserve">A Y D Construcciones Y Reformas Sabadell</t>
  </si>
  <si>
    <t xml:space="preserve">name-inferred renovation — no CNAE</t>
  </si>
  <si>
    <t xml:space="preserve">S.L. form matches the reference tenant; no CNAE recovered — sector fit inferred from the trading name only.</t>
  </si>
  <si>
    <t xml:space="preserve">https://empresite.eleconomista.es/AYD-CONSTRUCCIONES-REFORMAS-SABADELL.html</t>
  </si>
  <si>
    <t xml:space="preserve">Actua 2011 S.L.</t>
  </si>
  <si>
    <t xml:space="preserve">Actua 2011</t>
  </si>
  <si>
    <t xml:space="preserve">Viladecans</t>
  </si>
  <si>
    <t xml:space="preserve">assumed from sourcing frame — no CNAE, no keyword</t>
  </si>
  <si>
    <t xml:space="preserve">https://actua2011.es</t>
  </si>
  <si>
    <t xml:space="preserve">https://actua2011.es/</t>
  </si>
  <si>
    <t xml:space="preserve">Building Barcelona 2021 SL</t>
  </si>
  <si>
    <t xml:space="preserve">Building Barcelona 2021</t>
  </si>
  <si>
    <t xml:space="preserve">https://www.einforma.com/informacion-empresa/building-barcelona-2021</t>
  </si>
  <si>
    <t xml:space="preserve">Construcat Reformes I Serveis SL</t>
  </si>
  <si>
    <t xml:space="preserve">Construcat Reformes</t>
  </si>
  <si>
    <t xml:space="preserve">B13902903</t>
  </si>
  <si>
    <t xml:space="preserve">https://infonif.economia3.com/ficha-empresa/construcat-reformes-i-serveis-sl</t>
  </si>
  <si>
    <t xml:space="preserve">Construccialia Obras y Reformas SL</t>
  </si>
  <si>
    <t xml:space="preserve">Construccialia</t>
  </si>
  <si>
    <t xml:space="preserve">https://www.axesor.es/Informes-Empresas/4980883/CONSTRUCCIALIA_OBRAS_Y_REFORMAS_SL.html</t>
  </si>
  <si>
    <t xml:space="preserve">Construcciones Metalicas Castelldefels S.L.</t>
  </si>
  <si>
    <t xml:space="preserve">Construcciones Metalicas Castelldefels</t>
  </si>
  <si>
    <t xml:space="preserve">name-inferred general construction — no CNAE</t>
  </si>
  <si>
    <t xml:space="preserve">https://www.einforma.com/informacion-empresa/construcciones-metalicas-castelldefels</t>
  </si>
  <si>
    <t xml:space="preserve">Construcciones Reformas y Fachadas Condal SL</t>
  </si>
  <si>
    <t xml:space="preserve">Construcciones Reformas y Fachadas Condal</t>
  </si>
  <si>
    <t xml:space="preserve">https://www.axesor.es/Informes-Empresas/5408525/CONSTRUCCIONES_REFORMAS_Y_FACHADAS_CONDAL_SL.html</t>
  </si>
  <si>
    <t xml:space="preserve">Construcciones Trivia Rubi S.L.</t>
  </si>
  <si>
    <t xml:space="preserve">Construcciones Trivia Rubi</t>
  </si>
  <si>
    <t xml:space="preserve">https://www.einforma.com/informacion-empresa/construcciones-trivia-rubi</t>
  </si>
  <si>
    <t xml:space="preserve">Construcciones Y Reformas Amrah Gold SL</t>
  </si>
  <si>
    <t xml:space="preserve">Construcciones Y Reformas Amrah Gold</t>
  </si>
  <si>
    <t xml:space="preserve">https://www.einforma.com/informacion-empresa/construcciones-reformas-amrah-gold</t>
  </si>
  <si>
    <t xml:space="preserve">Construcciones y Reformas Barna Valles SL</t>
  </si>
  <si>
    <t xml:space="preserve">Construcciones y Reformas Barna Valles</t>
  </si>
  <si>
    <t xml:space="preserve">https://www.axesor.es/Informes-Empresas/2681080/CONSTRUCCIONES_Y_REFORMAS_BARNA_VALLES_SL.html</t>
  </si>
  <si>
    <t xml:space="preserve">Construcciones y Reformas Comahe SL</t>
  </si>
  <si>
    <t xml:space="preserve">Construcciones y Reformas Comahe</t>
  </si>
  <si>
    <t xml:space="preserve">https://ranking-empresas.eleconomista.es/CONSTRUCCIONES-REFORMAS-COMAHE.html</t>
  </si>
  <si>
    <t xml:space="preserve">Construcciones y Reformas Leus SL</t>
  </si>
  <si>
    <t xml:space="preserve">Construcciones y Reformas Leus</t>
  </si>
  <si>
    <t xml:space="preserve">https://www.axesor.es/Informes-Empresas/11312148/CONSTRUCCIONES_Y_REFORMAS_LEUS_SL.html, https://www.einforma.com/informacion-empresa/construcciones-reformas-leus</t>
  </si>
  <si>
    <t xml:space="preserve">Construcciones y Reformas Macias S.L.</t>
  </si>
  <si>
    <t xml:space="preserve">Construcciones y Reformas Macias</t>
  </si>
  <si>
    <t xml:space="preserve">B63228753</t>
  </si>
  <si>
    <t xml:space="preserve">https://empresite.eleconomista.es/CONSTRUCCIONES-REFORMAS-MACIAS.html, https://www.einforma.com/informacion-empresa/construcciones-reformas-macias</t>
  </si>
  <si>
    <t xml:space="preserve">Construcciones Y Reformas Manresa SL</t>
  </si>
  <si>
    <t xml:space="preserve">Construcciones Y Reformas Manresa</t>
  </si>
  <si>
    <t xml:space="preserve">B61066163</t>
  </si>
  <si>
    <t xml:space="preserve">Manresa</t>
  </si>
  <si>
    <t xml:space="preserve">https://empresite.eleconomista.es/CONSTRUCCIONES-REFORMAS-MANRESA.html</t>
  </si>
  <si>
    <t xml:space="preserve">Construcciones y Reformas Perfil SL</t>
  </si>
  <si>
    <t xml:space="preserve">Construcciones y Reformas Perfil</t>
  </si>
  <si>
    <t xml:space="preserve">https://www.axesor.es/Informes-Empresas/1454862/CONSTRUCCIONES_Y_REFORMAS_PERFIL_SL.html</t>
  </si>
  <si>
    <t xml:space="preserve">Construmarket Gavà 3000 S.L.</t>
  </si>
  <si>
    <t xml:space="preserve">Construmarket Gavà 3000</t>
  </si>
  <si>
    <t xml:space="preserve">Gavà</t>
  </si>
  <si>
    <t xml:space="preserve">936629180</t>
  </si>
  <si>
    <t xml:space="preserve">https://www.einforma.com/informacion-empresa/construmarket-gava-3000</t>
  </si>
  <si>
    <t xml:space="preserve">Eco Reformas De Barcelona SL</t>
  </si>
  <si>
    <t xml:space="preserve">Eco Reformas De Barcelona</t>
  </si>
  <si>
    <t xml:space="preserve">https://www.einforma.com/informacion-empresa/eco-reformas-barcelona</t>
  </si>
  <si>
    <t xml:space="preserve">Estudio Reformas Barcelona SL</t>
  </si>
  <si>
    <t xml:space="preserve">Estudio Reformas Barcelona</t>
  </si>
  <si>
    <t xml:space="preserve">B09831157</t>
  </si>
  <si>
    <t xml:space="preserve">https://www.datoscif.es/empresa/estudio-reformas-barcelona-sl, https://www.einforma.com/informacion-empresa/estudio-reformas-barcelona</t>
  </si>
  <si>
    <t xml:space="preserve">G&amp;L Reformas Generales SL</t>
  </si>
  <si>
    <t xml:space="preserve">G&amp;L Reformas Generales</t>
  </si>
  <si>
    <t xml:space="preserve">https://www.einforma.com/informacion-empresa/gl-reformas-generales</t>
  </si>
  <si>
    <t xml:space="preserve">Garle Reformas Integrales SL</t>
  </si>
  <si>
    <t xml:space="preserve">Garle Reformas Integrales</t>
  </si>
  <si>
    <t xml:space="preserve">https://www.einforma.com/informacion-empresa/garle-reformas-integrales</t>
  </si>
  <si>
    <t xml:space="preserve">HOUSFY REFORMAS SL</t>
  </si>
  <si>
    <t xml:space="preserve">HOUSFY REFORMAS</t>
  </si>
  <si>
    <t xml:space="preserve">https://www.houzz.es/profesionales/empresas-de-diseno-y-construccion/housfy-reformas-pfvwes-pf~2083973293</t>
  </si>
  <si>
    <t xml:space="preserve">Innova Reformas Barcelona SL</t>
  </si>
  <si>
    <t xml:space="preserve">Innova Reformas</t>
  </si>
  <si>
    <t xml:space="preserve">https://www.innovareformes.es</t>
  </si>
  <si>
    <t xml:space="preserve">https://barcelona.cool/categorias/reformas/innova-reformas-barcelona, https://www.innovareformes.es, https://www.reformasinnova.com/</t>
  </si>
  <si>
    <t xml:space="preserve">JK Reformas Y Renovacion SL</t>
  </si>
  <si>
    <t xml:space="preserve">JK Reformas Y Renovacion</t>
  </si>
  <si>
    <t xml:space="preserve">https://www.einforma.com/informacion-empresa/jk-reformas-renovacion</t>
  </si>
  <si>
    <t xml:space="preserve">L &amp; C Reformas SL</t>
  </si>
  <si>
    <t xml:space="preserve">L &amp; C Reformas</t>
  </si>
  <si>
    <t xml:space="preserve">B67385104</t>
  </si>
  <si>
    <t xml:space="preserve">https://www.einforma.com/informacion-empresa/lc-reformas-barcelona</t>
  </si>
  <si>
    <t xml:space="preserve">L A Reformas Llobregat S.L.</t>
  </si>
  <si>
    <t xml:space="preserve">L A Reformas Llobregat</t>
  </si>
  <si>
    <t xml:space="preserve">B64875248</t>
  </si>
  <si>
    <t xml:space="preserve">930075648</t>
  </si>
  <si>
    <t xml:space="preserve">https://www.lareformasllobregat.com</t>
  </si>
  <si>
    <t xml:space="preserve">https://empresite.eleconomista.es/LA-REFORMAS-LLOBREGAT.html, https://www.einforma.com/informacion-empresa/la-reformas-llobregat</t>
  </si>
  <si>
    <t xml:space="preserve">Lascol Reformas Y Servicios SL</t>
  </si>
  <si>
    <t xml:space="preserve">Lascol Reformas Y Servicios</t>
  </si>
  <si>
    <t xml:space="preserve">https://www.einforma.com/informacion-empresa/lascol-reformas-servicios</t>
  </si>
  <si>
    <t xml:space="preserve">LEBA REFORMAS S.L.</t>
  </si>
  <si>
    <t xml:space="preserve">Leba Reformas</t>
  </si>
  <si>
    <t xml:space="preserve">B67481994</t>
  </si>
  <si>
    <t xml:space="preserve">https://www.einforma.com/informacion-empresa/leba-reformas</t>
  </si>
  <si>
    <t xml:space="preserve">Medir Reformas SL</t>
  </si>
  <si>
    <t xml:space="preserve">Medir Reformas</t>
  </si>
  <si>
    <t xml:space="preserve">https://www.einforma.com/informacion-empresa/medir-reformas</t>
  </si>
  <si>
    <t xml:space="preserve">NAB Construcciones Y Reformas S.L.</t>
  </si>
  <si>
    <t xml:space="preserve">NAB Construcciones Y Reformas</t>
  </si>
  <si>
    <t xml:space="preserve">B56625247</t>
  </si>
  <si>
    <t xml:space="preserve">https://www.einforma.com/informacion-empresa/nab-construcciones-reformas</t>
  </si>
  <si>
    <t xml:space="preserve">Nova Reforma Barcelona SL</t>
  </si>
  <si>
    <t xml:space="preserve">Nova Reforma Barcelona</t>
  </si>
  <si>
    <t xml:space="preserve">Sector-default only; sole contact is a mobile-shaped number (QA: possible personal line, verify before outreach)</t>
  </si>
  <si>
    <t xml:space="preserve">+34-690-757075</t>
  </si>
  <si>
    <t xml:space="preserve">https://barcelonayreformas.com</t>
  </si>
  <si>
    <t xml:space="preserve">https://barcelonayreformas.com/, https://empresite.eleconomista.es/NOVA-REFORMA-BARCELONA.html</t>
  </si>
  <si>
    <t xml:space="preserve">Obras Y Reformas Baix Llobregat S.L.</t>
  </si>
  <si>
    <t xml:space="preserve">Obras y Reformas Baix Llobregat</t>
  </si>
  <si>
    <t xml:space="preserve">B62547500</t>
  </si>
  <si>
    <t xml:space="preserve">https://www.einforma.com/informacion-empresa/obras-reformas-baix-llobregat</t>
  </si>
  <si>
    <t xml:space="preserve">Obras Y Reformas Canovelles SL</t>
  </si>
  <si>
    <t xml:space="preserve">Obras Y Reformas Canovelles</t>
  </si>
  <si>
    <t xml:space="preserve">https://www.einforma.com/informacion-empresa/obras-reformas-canovelles</t>
  </si>
  <si>
    <t xml:space="preserve">Obras Y Servicios Barro S.L.</t>
  </si>
  <si>
    <t xml:space="preserve">Obras Y Servicios Barro</t>
  </si>
  <si>
    <t xml:space="preserve">B66924341</t>
  </si>
  <si>
    <t xml:space="preserve">https://www.einforma.com/informacion-empresa/obras-servicios-barro</t>
  </si>
  <si>
    <t xml:space="preserve">Refinaments Sabadell SL</t>
  </si>
  <si>
    <t xml:space="preserve">Refinaments Sabadell</t>
  </si>
  <si>
    <t xml:space="preserve">https://www.einforma.com/informacion-empresa/refinaments-sabadell</t>
  </si>
  <si>
    <t xml:space="preserve">Reforma Integral Granollers SL</t>
  </si>
  <si>
    <t xml:space="preserve">Reforma Integral Granollers</t>
  </si>
  <si>
    <t xml:space="preserve">https://www.einforma.com/informacion-empresa/reforma-integral-granollers</t>
  </si>
  <si>
    <t xml:space="preserve">Reformas 2011 Montcada SL</t>
  </si>
  <si>
    <t xml:space="preserve">Reformas 2011 Montcada</t>
  </si>
  <si>
    <t xml:space="preserve">https://www.einforma.com/informacion-empresa/reformas-2011-montcada</t>
  </si>
  <si>
    <t xml:space="preserve">REFORMAS 2030 ETC S.L.</t>
  </si>
  <si>
    <t xml:space="preserve">Reformas 2030 ETC</t>
  </si>
  <si>
    <t xml:space="preserve">B75663948</t>
  </si>
  <si>
    <t xml:space="preserve">https://www.einforma.com/informacion-empresa/reformas-2030-etc</t>
  </si>
  <si>
    <t xml:space="preserve">Reformas Alta Calidad Bcn SL</t>
  </si>
  <si>
    <t xml:space="preserve">Reformas Alta Calidad Bcn</t>
  </si>
  <si>
    <t xml:space="preserve">https://www.einforma.com/informacion-empresa/reformas-alta-calidad-bcn</t>
  </si>
  <si>
    <t xml:space="preserve">Reformas Badalona 2000 SL</t>
  </si>
  <si>
    <t xml:space="preserve">Reformas Badalona 2000</t>
  </si>
  <si>
    <t xml:space="preserve">https://www.einforma.com/informacion-empresa/reformas-badalona-2000</t>
  </si>
  <si>
    <t xml:space="preserve">Reformas Barcelona Grupo Técnico SL</t>
  </si>
  <si>
    <t xml:space="preserve">Grupo Técnico</t>
  </si>
  <si>
    <t xml:space="preserve">B66772625</t>
  </si>
  <si>
    <t xml:space="preserve">931426082</t>
  </si>
  <si>
    <t xml:space="preserve">grupotecnico82@gmail.com</t>
  </si>
  <si>
    <t xml:space="preserve">http://www.grupotecnicobarcelona.com</t>
  </si>
  <si>
    <t xml:space="preserve">https://empresite.eleconomista.es/REFORMAS-BARCELONA-GRUPOTECNICO.html, https://infonif.economia3.com/ficha-empresa/reformas-barcelona-grupotecnico-sl, https://www.houzz.es/profesionales/renovacion-de-cocinas-y-banos/reformas-barcelona-grupo-tecnico-s-l-pfvwes-pf~691744371</t>
  </si>
  <si>
    <t xml:space="preserve">Reformas Barcelona Rubio SL</t>
  </si>
  <si>
    <t xml:space="preserve">Reformas Barcelona Rubio</t>
  </si>
  <si>
    <t xml:space="preserve">B66684077</t>
  </si>
  <si>
    <t xml:space="preserve">https://infonif.economia3.com/ficha-empresa/reformas-barcelona-rubio-sl, https://www.einforma.com/informacion-empresa/reformas-barcelona-rubio</t>
  </si>
  <si>
    <t xml:space="preserve">Reformas Carrera S.L.</t>
  </si>
  <si>
    <t xml:space="preserve">Reformas Carrera</t>
  </si>
  <si>
    <t xml:space="preserve">936620042</t>
  </si>
  <si>
    <t xml:space="preserve">https://www.einforma.com/informacion-empresa/reformas-carrera</t>
  </si>
  <si>
    <t xml:space="preserve">Reformas Casa Luz SL</t>
  </si>
  <si>
    <t xml:space="preserve">Reformas Casa Luz</t>
  </si>
  <si>
    <t xml:space="preserve">B02906188</t>
  </si>
  <si>
    <t xml:space="preserve">https://www.einforma.com/informacion-empresa/reformas-casa-luz</t>
  </si>
  <si>
    <t xml:space="preserve">Reformas Dimari SL</t>
  </si>
  <si>
    <t xml:space="preserve">Reformas Dimari</t>
  </si>
  <si>
    <t xml:space="preserve">https://reformasdimari.com</t>
  </si>
  <si>
    <t xml:space="preserve">https://reformasdimari.com/, https://www.instagram.com/reformasdimari/</t>
  </si>
  <si>
    <t xml:space="preserve">Reformas DSQ SL</t>
  </si>
  <si>
    <t xml:space="preserve">Reformas DSQ</t>
  </si>
  <si>
    <t xml:space="preserve">https://www.einforma.com/informacion-empresa/reformas-dsq-barcelona</t>
  </si>
  <si>
    <t xml:space="preserve">Reformas Grig Barcelona SL</t>
  </si>
  <si>
    <t xml:space="preserve">GRIG</t>
  </si>
  <si>
    <t xml:space="preserve">B70653902</t>
  </si>
  <si>
    <t xml:space="preserve">+34-931792019</t>
  </si>
  <si>
    <t xml:space="preserve">https://grig.es</t>
  </si>
  <si>
    <t xml:space="preserve">https://grig.es/, https://www.einforma.com/informacion-empresa/reformas-grig-barcelona</t>
  </si>
  <si>
    <t xml:space="preserve">Reformas Integrales F&amp;R SL</t>
  </si>
  <si>
    <t xml:space="preserve">Reformas Integrales F&amp;R</t>
  </si>
  <si>
    <t xml:space="preserve">https://www.einforma.com/informacion-empresa/reformas-integrales-fr</t>
  </si>
  <si>
    <t xml:space="preserve">Reformas Integrales y Servicios RDR SL</t>
  </si>
  <si>
    <t xml:space="preserve">Reformas Integrales y Servicios RDR</t>
  </si>
  <si>
    <t xml:space="preserve">https://www.axesor.es/Informes-Empresas/9165830/REFORMAS_INTEGRALES_Y_SERVICIOS_RDR_SL.html</t>
  </si>
  <si>
    <t xml:space="preserve">Reformas Terrassa SL</t>
  </si>
  <si>
    <t xml:space="preserve">Reformas Terrassa</t>
  </si>
  <si>
    <t xml:space="preserve">B58801002</t>
  </si>
  <si>
    <t xml:space="preserve">https://www.iberinform.es/empresa/146155/reformas-terrassa</t>
  </si>
  <si>
    <t xml:space="preserve">Reformas y Construcciones Casvell Bcn SL</t>
  </si>
  <si>
    <t xml:space="preserve">Reformas y Construcciones Casvell Bcn</t>
  </si>
  <si>
    <t xml:space="preserve">https://www.axesor.es/Informes-Empresas/6591954/REFORMAS_Y_CONSTRUCCIONES_CASVELL_BCN_SL.html</t>
  </si>
  <si>
    <t xml:space="preserve">Reformas Y Construcciones Mcarabantes SL</t>
  </si>
  <si>
    <t xml:space="preserve">Reformas Y Construcciones Mcarabantes</t>
  </si>
  <si>
    <t xml:space="preserve">https://www.axesor.es/Informes-Empresas/8094876/REFORMAS_Y_CONSTRUCCIONES_MCARABANTES_SL.html</t>
  </si>
  <si>
    <t xml:space="preserve">Reformas y Diseño a Medida SL</t>
  </si>
  <si>
    <t xml:space="preserve">Reformas y Diseño a Medida</t>
  </si>
  <si>
    <t xml:space="preserve">https://ranking-empresas.eleconomista.es/REFORMAS-DISENO-MEDIDA.html</t>
  </si>
  <si>
    <t xml:space="preserve">Reformas y Rehabilitaciones Barcelona 1971 SL</t>
  </si>
  <si>
    <t xml:space="preserve">Reformas y Rehabilitaciones Barcelona 1971</t>
  </si>
  <si>
    <t xml:space="preserve">https://ranking-empresas.eleconomista.es/REFORMAS-REHABILITACIONES-BARCELONA-1971.html</t>
  </si>
  <si>
    <t xml:space="preserve">Riac Construcciones SL</t>
  </si>
  <si>
    <t xml:space="preserve">Riac Construcciones</t>
  </si>
  <si>
    <t xml:space="preserve">https://www.habitissimo.es/pro/riac-construcciones-sl</t>
  </si>
  <si>
    <t xml:space="preserve">Sabadell Reformas P&amp;M SL</t>
  </si>
  <si>
    <t xml:space="preserve">Sabadell Reformas P&amp;M</t>
  </si>
  <si>
    <t xml:space="preserve">https://empresite.eleconomista.es/SABADELL-REFORMAS-PM.html</t>
  </si>
  <si>
    <t xml:space="preserve">Sayco Reformas y Construcciones SL</t>
  </si>
  <si>
    <t xml:space="preserve">Sayco Reformas y Construcciones</t>
  </si>
  <si>
    <t xml:space="preserve">https://www.axesor.es/Informes-Empresas/2683266/SAYCO_REFORMAS_Y_CONSTRUCCIONES_SL.html</t>
  </si>
  <si>
    <t xml:space="preserve">Servicios y Reformas Jema SL</t>
  </si>
  <si>
    <t xml:space="preserve">Servicios y Reformas Jema</t>
  </si>
  <si>
    <t xml:space="preserve">https://ranking-empresas.eleconomista.es/SERVICIOS-REFORMAS-JEMA.html</t>
  </si>
  <si>
    <t xml:space="preserve">Suanpa Proyectos Reformas y Construcciones SL</t>
  </si>
  <si>
    <t xml:space="preserve">Suanpa Proyectos Reformas</t>
  </si>
  <si>
    <t xml:space="preserve">https://ranking-empresas.eleconomista.es/SUANPA-PROYECTOS-REFORMAS-CONSTRUCCIONES.html</t>
  </si>
  <si>
    <t xml:space="preserve">T. H. S. Reformas Integrales SL</t>
  </si>
  <si>
    <t xml:space="preserve">T. H. S. Reformas Integrales</t>
  </si>
  <si>
    <t xml:space="preserve">B65522518</t>
  </si>
  <si>
    <t xml:space="preserve">https://www.northdata.com/T.%20H.%20S.%20Reformas%20Integrales%20SL,%20Terrassa/NIF%20B65522518</t>
  </si>
  <si>
    <t xml:space="preserve">TODO REFORMAS 2025 S.L.</t>
  </si>
  <si>
    <t xml:space="preserve">Todo Reformas 2025</t>
  </si>
  <si>
    <t xml:space="preserve">B22890933</t>
  </si>
  <si>
    <t xml:space="preserve">https://www.einforma.com/informacion-empresa/todo-reformas-2025</t>
  </si>
  <si>
    <t xml:space="preserve">V.A.A.C. Reformas Y Decoracion S.L.</t>
  </si>
  <si>
    <t xml:space="preserve">VAAC Reformas Y Decoracion</t>
  </si>
  <si>
    <t xml:space="preserve">B65561128</t>
  </si>
  <si>
    <t xml:space="preserve">https://www.einforma.com/informacion-empresa/vaac-reformas-decoracion</t>
  </si>
  <si>
    <t xml:space="preserve">Vexia Reformas S.L.</t>
  </si>
  <si>
    <t xml:space="preserve">Vexia Reformas</t>
  </si>
  <si>
    <t xml:space="preserve">https://www.einforma.com/informacion-empresa/vexia-reformas</t>
  </si>
  <si>
    <t xml:space="preserve">Vive Estudio De Reformas SL</t>
  </si>
  <si>
    <t xml:space="preserve">Vive Estudio De Reformas</t>
  </si>
  <si>
    <t xml:space="preserve">https://www.einforma.com/informacion-empresa/vive-estudio-reformas</t>
  </si>
  <si>
    <t xml:space="preserve">Zain Reformas SL</t>
  </si>
  <si>
    <t xml:space="preserve">Zain Reformas</t>
  </si>
  <si>
    <t xml:space="preserve">https://www.einforma.com/informacion-empresa/zain-reformas</t>
  </si>
  <si>
    <t xml:space="preserve">ALSA Construcciones Y Reformas S.C.P.</t>
  </si>
  <si>
    <t xml:space="preserve">ALSA Construcciones Y Reformas</t>
  </si>
  <si>
    <t xml:space="preserve">civil-partnership form, distant from the S.L. reference; no CNAE recovered — sector fit inferred from the trading name only.</t>
  </si>
  <si>
    <t xml:space="preserve">Declined — Civil-partnership form with no CNAE</t>
  </si>
  <si>
    <t xml:space="preserve">https://www.einforma.com/informacion-empresa/alsa-construcciones-reformas</t>
  </si>
  <si>
    <t xml:space="preserve">BCN Construcciones Y Reformas S.C.P.</t>
  </si>
  <si>
    <t xml:space="preserve">BCN Construcciones Y Reformas</t>
  </si>
  <si>
    <t xml:space="preserve">J62983697</t>
  </si>
  <si>
    <t xml:space="preserve">https://www.einforma.com/informacion-empresa/bcn-construcciones-reformas</t>
  </si>
  <si>
    <t xml:space="preserve">Construcciones Gavà S.C.P.</t>
  </si>
  <si>
    <t xml:space="preserve">Construcciones Gavà</t>
  </si>
  <si>
    <t xml:space="preserve">https://www.einforma.com/informacion-empresa/construcciones-gava</t>
  </si>
  <si>
    <t xml:space="preserve">Mundo Fachadas S.C.P.</t>
  </si>
  <si>
    <t xml:space="preserve">Mundo Fachadas</t>
  </si>
  <si>
    <t xml:space="preserve">J67165977</t>
  </si>
  <si>
    <t xml:space="preserve">https://www.einforma.com/informacion-empresa/mundo-fachadas</t>
  </si>
  <si>
    <t xml:space="preserve">Reformas Integrales El Masnou S.C.P.</t>
  </si>
  <si>
    <t xml:space="preserve">Reformas Integrales El Masnou</t>
  </si>
  <si>
    <t xml:space="preserve">J63497960</t>
  </si>
  <si>
    <t xml:space="preserve">Vilassar de Dalt</t>
  </si>
  <si>
    <t xml:space="preserve">https://empresite.eleconomista.es/REFORMAS-INTEGRALES-MASNOU.html</t>
  </si>
  <si>
    <t xml:space="preserve">Reformas Rd S.C.P.</t>
  </si>
  <si>
    <t xml:space="preserve">Reformas Rd</t>
  </si>
  <si>
    <t xml:space="preserve">https://empresite.eleconomista.es/REFORMAS-RD-BARCELONA.html</t>
  </si>
  <si>
    <t xml:space="preserve">EFICAVER</t>
  </si>
  <si>
    <t xml:space="preserve">Eficaver</t>
  </si>
  <si>
    <t xml:space="preserve">none detected</t>
  </si>
  <si>
    <t xml:space="preserve">no legal-form suffix found in the name — registry check needed before this is treated as a company at all; no CNAE recovered — sector fit inferred from the trading name only.</t>
  </si>
  <si>
    <t xml:space="preserve">Declined — No verifiable legal form</t>
  </si>
  <si>
    <t xml:space="preserve">https://www.houzz.es/profesionales/empresas-de-reformas/eficaver-pfvwes-pf~816307359</t>
  </si>
  <si>
    <t xml:space="preserve">MAYORCASA</t>
  </si>
  <si>
    <t xml:space="preserve">https://mayorcasareformas.com</t>
  </si>
  <si>
    <t xml:space="preserve">https://mayorcasareformas.com, https://www.houzz.es/profesionales/empresas-de-reformas/mayorcasa-pfvwes-pf~1388854814</t>
  </si>
  <si>
    <t xml:space="preserve">Reformas 3 Casas</t>
  </si>
  <si>
    <t xml:space="preserve">https://empresas.habitissimo.es/pro/reformas-3-casas</t>
  </si>
  <si>
    <t xml:space="preserve">Reformas Pastoret</t>
  </si>
  <si>
    <t xml:space="preserve">https://empresas.habitissimo.es/pro/reformas-pastoret</t>
  </si>
  <si>
    <t xml:space="preserve">REFORMAS TORRES</t>
  </si>
  <si>
    <t xml:space="preserve">https://www.houzz.es/profesionales/contratistas/reformas-torres-pfvwes-pf~725197782</t>
  </si>
  <si>
    <t xml:space="preserve">Ryv Reformas</t>
  </si>
  <si>
    <t xml:space="preserve">https://www.habitissimo.es/pro/ryv-reformas</t>
  </si>
  <si>
    <t xml:space="preserve">Construcciones y Reformas Coperfi SL</t>
  </si>
  <si>
    <t xml:space="preserve">Construcciones y Reformas Coperfi</t>
  </si>
  <si>
    <t xml:space="preserve">—</t>
  </si>
  <si>
    <t xml:space="preserve">EXCLUDED</t>
  </si>
  <si>
    <t xml:space="preserve">EXCLUDED — wrong-company match (QA)</t>
  </si>
  <si>
    <t xml:space="preserve">EXCLUDED — QA identified this as a real, registered company (NIF B36853505) headquartered in Gondomar, Pontevedra — the wrong company was pulled into the Barcelona list. Excluded from scoring pending re-verification, per the QA verdict.</t>
  </si>
  <si>
    <t xml:space="preserve">Declined — Excluded</t>
  </si>
  <si>
    <t xml:space="preserve">https://ranking-empresas.eleconomista.es/CONSTRUCCIONES-REFORMAS-COPERFI.html</t>
  </si>
  <si>
    <t xml:space="preserve">Playbook — the selling process, stage by stage</t>
  </si>
  <si>
    <t xml:space="preserve">Pipeline's Next action, Script to use, Exit criterion and Probability are looked up from this table by Stage. Probabilities (blue) are assumptions — change them here, never in Pipeline.</t>
  </si>
  <si>
    <t xml:space="preserve">Objective</t>
  </si>
  <si>
    <t xml:space="preserve">What to do (Next action)</t>
  </si>
  <si>
    <t xml:space="preserve">Script / asset to use</t>
  </si>
  <si>
    <t xml:space="preserve">Exit criterion — move on only when</t>
  </si>
  <si>
    <t xml:space="preserve">Typical duration</t>
  </si>
  <si>
    <t xml:space="preserve">Next stage</t>
  </si>
  <si>
    <t xml:space="preserve">MEDDPICC check</t>
  </si>
  <si>
    <t xml:space="preserve">Nothing done yet</t>
  </si>
  <si>
    <t xml:space="preserve">Read the row: tier, segment, trigger, reason we lose them. Check contact coverage; if 0, enrich before anything else.</t>
  </si>
  <si>
    <t xml:space="preserve">Row read and a contact channel exists</t>
  </si>
  <si>
    <t xml:space="preserve">Know one verifiable thing about their business</t>
  </si>
  <si>
    <t xml:space="preserve">Find a live site or permit, the owner's name if the FIRM publishes it, and which trigger applies. Fill Contact person, Preferred language and Trigger observed.</t>
  </si>
  <si>
    <t xml:space="preserve">Triggers sheet</t>
  </si>
  <si>
    <t xml:space="preserve">One verifiable, specific fact about their current work recorded in Notes</t>
  </si>
  <si>
    <t xml:space="preserve">1 day</t>
  </si>
  <si>
    <t xml:space="preserve">Identify Pain — which opener fits</t>
  </si>
  <si>
    <t xml:space="preserve">Earn 30 minutes on site</t>
  </si>
  <si>
    <t xml:space="preserve">Call the published number. Open with the trigger's one-sentence opener. Ask for the person who prepares the quarterly close. Aim for a site visit, not a demo.</t>
  </si>
  <si>
    <t xml:space="preserve">Scripts · 90-second pitch</t>
  </si>
  <si>
    <t xml:space="preserve">Prospect recognises the named pain as their own, or a visit is booked</t>
  </si>
  <si>
    <t xml:space="preserve">1–3 attempts over 5 days</t>
  </si>
  <si>
    <t xml:space="preserve">Identify Pain · Economic Buyer named</t>
  </si>
  <si>
    <t xml:space="preserve">Same ask, in writing, in their language</t>
  </si>
  <si>
    <t xml:space="preserve">Send the first-touch email (ES or CA) with every merge field verified. Log it. Set Next action due = +4 days.</t>
  </si>
  <si>
    <t xml:space="preserve">Scripts · First-touch email</t>
  </si>
  <si>
    <t xml:space="preserve">Sent with no square-bracketed field left, logged</t>
  </si>
  <si>
    <t xml:space="preserve">same day</t>
  </si>
  <si>
    <t xml:space="preserve">Second angle — the 2027 invoicing obligation</t>
  </si>
  <si>
    <t xml:space="preserve">Send Follow-up A. Try one more call at a different hour.</t>
  </si>
  <si>
    <t xml:space="preserve">Scripts · Follow-up A</t>
  </si>
  <si>
    <t xml:space="preserve">Reply, call taken, or 2 touches logged</t>
  </si>
  <si>
    <t xml:space="preserve">+4 days</t>
  </si>
  <si>
    <t xml:space="preserve">Identify Pain</t>
  </si>
  <si>
    <t xml:space="preserve">Third angle — the quarter and the gestoría</t>
  </si>
  <si>
    <t xml:space="preserve">Send Follow-up B. If no reply after this, set Stage to Lost with reason 'no response' and revisit in 90 days.</t>
  </si>
  <si>
    <t xml:space="preserve">Scripts · Follow-up B</t>
  </si>
  <si>
    <t xml:space="preserve">Reply or meeting, else Lost</t>
  </si>
  <si>
    <t xml:space="preserve">+5 days</t>
  </si>
  <si>
    <t xml:space="preserve">Champion — is there an admin person?</t>
  </si>
  <si>
    <t xml:space="preserve">A date on site with the owner(s)</t>
  </si>
  <si>
    <t xml:space="preserve">Confirm date, place and who attends — both owners if operations and administration are split. Prepare the three qualifying questions.</t>
  </si>
  <si>
    <t xml:space="preserve">Playbook · MEDDPICC checklist</t>
  </si>
  <si>
    <t xml:space="preserve">Date, place and attendees confirmed in writing</t>
  </si>
  <si>
    <t xml:space="preserve">≤ 7 days out</t>
  </si>
  <si>
    <t xml:space="preserve">Economic Buyer (both) · Decision Process</t>
  </si>
  <si>
    <t xml:space="preserve">Qualify — hard gates answered</t>
  </si>
  <si>
    <t xml:space="preserve">Run the qualifying questions: revenue mix, incumbent ledger, public-work exposure, bank, legal form, both Economic Buyers. Ask for one closed job's papers for the demo.</t>
  </si>
  <si>
    <t xml:space="preserve">Objections sheet · Leave-behind</t>
  </si>
  <si>
    <t xml:space="preserve">Hard-gate checklist answered; one closed job's documents obtained</t>
  </si>
  <si>
    <t xml:space="preserve">1 meeting</t>
  </si>
  <si>
    <t xml:space="preserve">Metrics · Decision Criteria · Competition</t>
  </si>
  <si>
    <t xml:space="preserve">Their name on a real document</t>
  </si>
  <si>
    <t xml:space="preserve">Build a quotation, contract and invoice bearing their firm's name, NIF and a sample of their catalogue. Costs 8–16 engineering hours today (07 §4) — book it, do not improvise.</t>
  </si>
  <si>
    <t xml:space="preserve">Pricing &amp; Pilot sheet</t>
  </si>
  <si>
    <t xml:space="preserve">Both Economic Buyers have seen a document with their own name and figures</t>
  </si>
  <si>
    <t xml:space="preserve">1–2 weeks incl. build</t>
  </si>
  <si>
    <t xml:space="preserve">Metrics — their numbers, not ours</t>
  </si>
  <si>
    <t xml:space="preserve">Term sheet on the table</t>
  </si>
  <si>
    <t xml:space="preserve">Present the 90-day pilot: €900, three metrics on their numbers, baseline before install, kill criteria, processor agreement. Leave the term sheet.</t>
  </si>
  <si>
    <t xml:space="preserve">Pricing &amp; Pilot · Term sheet</t>
  </si>
  <si>
    <t xml:space="preserve">Term sheet delivered; processor agreement drafted</t>
  </si>
  <si>
    <t xml:space="preserve">1 week</t>
  </si>
  <si>
    <t xml:space="preserve">Paper Process — art. 28 agreement</t>
  </si>
  <si>
    <t xml:space="preserve">Ninety days, measured</t>
  </si>
  <si>
    <t xml:space="preserve">Capture the three baselines BEFORE install. Weekly check-in. Watch the kill criteria. Max two pilots at once, each on its own stack.</t>
  </si>
  <si>
    <t xml:space="preserve">Day-24 smoke test passed; metrics moving by day 75</t>
  </si>
  <si>
    <t xml:space="preserve">90 days</t>
  </si>
  <si>
    <t xml:space="preserve">Champion — the admin person is using it</t>
  </si>
  <si>
    <t xml:space="preserve">Paid, first quarter closed in the product</t>
  </si>
  <si>
    <t xml:space="preserve">Convert to per-segment pricing. Ask for the reference (consent in writing). Log the CLV inputs.</t>
  </si>
  <si>
    <t xml:space="preserve">First quarterly filing assembled from the product</t>
  </si>
  <si>
    <t xml:space="preserve">Closed — no</t>
  </si>
  <si>
    <t xml:space="preserve">Record the reason in Notes (no response / price / timing / gestoría alternative). Set a 90-day revisit date in Next action due.</t>
  </si>
  <si>
    <t xml:space="preserve">Reason recorded</t>
  </si>
  <si>
    <t xml:space="preserve">Declined by us</t>
  </si>
  <si>
    <t xml:space="preserve">Say so plainly and kindly. Record which disqualifier applied (Objections 3, 9 or 11 usually).</t>
  </si>
  <si>
    <t xml:space="preserve">Objections sheet</t>
  </si>
  <si>
    <t xml:space="preserve">Disqualifier recorded</t>
  </si>
  <si>
    <t xml:space="preserve">Exit criteria as written in the go-to-market plan (08-GTM-PLAN.md §4)</t>
  </si>
  <si>
    <t xml:space="preserve">#</t>
  </si>
  <si>
    <t xml:space="preserve">Stage in the plan</t>
  </si>
  <si>
    <t xml:space="preserve">Exit criterion and moving artefact</t>
  </si>
  <si>
    <t xml:space="preserve">Trigger identification and first contact.</t>
  </si>
  <si>
    <t xml:space="preserve">Exit criterion: the prospect recognises the specific pain named in one of 03-TRIGGER-MAP.md's openers as their own Tuesday, not a generic software pitch. Moving artefact: the opener itself, delivered as the first-touch message docs/market/barcelona/ROADMAP.md's Phase 9 will draft, addressed to a named, verifiable fact about the firm rather than a template.</t>
  </si>
  <si>
    <t xml:space="preserve">Qualifying call.</t>
  </si>
  <si>
    <t xml:space="preserve">Exit criterion: the hard-gate checklist of 02-ICP-AND-RUBRIC.md A.5 is answered — revenue mix (project versus recurring maintenance), incumbent ledger status, public-work exposure, bank, legal form, and both Economic Buyers identified where two exist. Moving artefact: a completed, dated qualification record against that six-item hard-gate list, because a deal that skips this stage is a deal that discovers a hard gate after money has been spent rather than before.</t>
  </si>
  <si>
    <t xml:space="preserve">A demonstration on the prospect's own data — the pivot stage, addressed honestly below.</t>
  </si>
  <si>
    <t xml:space="preserve">Exit criterion: both Economic Buyers have seen a document — a quotation, a contract, or an invoice — bearing their own firm's name, tax identifier and at least a sample of their own catalogue, not a generic demo tenant's. Moving artefact: the demo tenant itself, and the PDF documents it produces.</t>
  </si>
  <si>
    <t xml:space="preserve">Data-protection sign-off.</t>
  </si>
  <si>
    <t xml:space="preserve">Exit criterion: the processor agreement is signed and a retention position is stated, satisfying 02-ICP-AND-RUBRIC.md A.5's sixth hard gate before any real data moves. Moving artefact: the signed agreement, which for this buyer is very often the entire "Paper Process" the deal will ever produce.</t>
  </si>
  <si>
    <t xml:space="preserve">Onboarding.</t>
  </si>
  <si>
    <t xml:space="preserve">Exit criterion: the smoke test named in 07-TAILORING-ECONOMICS.md §1 passes — a quotation, a contract and an invoice, each issued and downloaded — and a handover note is delivered. Moving artefact: the handover note itself, and the first real (not demo) document the firm has issued from the product.</t>
  </si>
  <si>
    <t xml:space="preserve">Conversion to paid, and the first quarter closed inside the product.</t>
  </si>
  <si>
    <t xml:space="preserve">Exit criterion: the firm's first quarterly filing cycle is assembled from the product rather than reconstructed from paper — the moment 03-TRIGGER-MAP.md's second-ranked trigger stops being a monthly threat. Moving artefact: the export package for that first quarter, which doubles as the artefact a reference conversation can be built around.</t>
  </si>
  <si>
    <t xml:space="preserve">Qualification — MEDDPICC adapted to the owner-manager (08-GTM-PLAN.md §3)</t>
  </si>
  <si>
    <t xml:space="preserve">Letter</t>
  </si>
  <si>
    <t xml:space="preserve">How it applies to this buyer</t>
  </si>
  <si>
    <t xml:space="preserve">Metrics</t>
  </si>
  <si>
    <t xml:space="preserve">Not a generic ROI slide; the segment's own value-case arithmetic from 06-VALUE-CASE.md, asked as a question the prospect answers rather than told as a number they receive. The single most diagnostic question, stated directly in 06-VALUE-CASE.md §3.5's own conclusion for the hardest segment and applicable to all three, is whether the owner can name one completed job whose margin he could not explain afterwards. A firm that cannot name one has just told the seller its own Metrics; a firm that can name several has told the seller the deal is close to qualified before a single number has been quoted.</t>
  </si>
  <si>
    <t xml:space="preserve">Economic Buyer</t>
  </si>
  <si>
    <t xml:space="preserve">Usually a duo, not a hierarchy. Where two owners split operations and administration — the pattern 00-REFERENCE-CASE.md records and the product's own permission model is built around — both must be identified and both must agree, because a sale that wins one and loses the other stalls indefinitely rather than closing slowly. Where the firm is a true sole operator (Segment 3's modal case), the Economic Buyer is one person, and the qualification question shifts from "who else needs to agree" to "does this one person have forty owner-hours a year to give the product" (06-VALUE-CASE.md §3.5's own adoption-cost line).</t>
  </si>
  <si>
    <t xml:space="preserve">Decision Criteria</t>
  </si>
  <si>
    <t xml:space="preserve">Not a feature checklist scored against named competitors — there is usually no competing product under evaluation, because the incumbent is Excel and a gestoría, not a rival ERP (02-ICP-AND-RUBRIC.md A.3, "the incumbent is not a competitor product"). The real decision criterion, as 06-VALUE-CASE.md §3.7 states in pricing Segment 3 deliberately below the adviser's own monthly fee, is a psychological ceiling anchored on the gestoría's retainer, not a value-for-money comparison against alternative software.</t>
  </si>
  <si>
    <t xml:space="preserve">Decision Process</t>
  </si>
  <si>
    <t xml:space="preserve">Informal and short by construction, precisely because the committee, procurement function and written specification that lengthen a normal enterprise Decision Process are the same organisational features 02-ICP-AND-RUBRIC.md A.6 type 3 names as reasons to decline a firm (a controller, a payroll bureau, a comparison against named commercial products). The process for this buyer is a phone call, a demonstration, and a decision inside days rather than committee cycles — but exactly because there is no formal process, a stalled deal has no internal mechanism pushing it forward either, so the seller has to supply the cadence a committee would otherwise provide.</t>
  </si>
  <si>
    <t xml:space="preserve">Paper Process</t>
  </si>
  <si>
    <t xml:space="preserve">There is usually no legal department and no procurement portal. The paper that actually moves — and the piece of Paper Process this ICP takes seriously in a way a generic SME might not — is the GDPR/LOPDGDD processor agreement 02-ICP-AND-RUBRIC.md A.5's sixth hard gate names directly: real financial and employee data requires a signed processor agreement and a stated retention position before a pilot's baseline can even be measured, and a firm unwilling to sign either is disqualified from being a design partner regardless of how well it scores everywhere else.</t>
  </si>
  <si>
    <t xml:space="preserve">Use 03-TRIGGER-MAP.md's own openers verbatim as the diagnostic instrument, segment-adjusted: the Verifactu opener for the dated, universal pain every S.L. and S.A. shares, and the quarterly-reconstruction opener for the pain that is felt every ninety days regardless of any legal deadline. Both are written to be falsifiable in the room — the prospect either recognises the described Tuesday or does not — which is a better qualification signal than any question asked directly.</t>
  </si>
  <si>
    <t xml:space="preserve">Champion</t>
  </si>
  <si>
    <t xml:space="preserve">This is the letter that most visibly breaks, and the adaptation has to be stated rather than assumed away. 02-ICP-AND-RUBRIC.md A.4.2 calls a named administrative person who is not the operations owner the single most reliable organisational qualifier, precisely because MEDDPICC's Champion function — someone inside the account who carries the case internally — needs a second person to carry it to. Where that second person exists (most of Segment 1 and Segment 2), they are the Champion in the framework's own sense, and their engagement, not the owner's, is the leading indicator. Where no second person exists — Segment 3's modal firm, and 01-MARKET-MAP.md §4.1's own finding that the operations-versus-administration distinction is "inert" below roughly eight people — there is no one to carry the case internally, because the Economic Buyer, the user and the only candidate Champion are one exhausted person at the end of a working day. The honest adaptation is that Champion, in that case, is not a role a second person fills; it is a test of whether the owner will advocate the tool to his own future evening self, and the tell is the same one used for Metrics above — a named job whose margin he could not explain.</t>
  </si>
  <si>
    <t xml:space="preserve">Competition</t>
  </si>
  <si>
    <t xml:space="preserve">Not another ERP vendor in the overwhelming majority of deals — 02-ICP-AND-RUBRIC.md A.3 and 06-VALUE-CASE.md §4 both name the real incumbent as a spreadsheet and a gestoría — but the qualification question has to go one step further than that concession, because the sharpest live competitive threat identified anywhere in this roadmap is the gestoría's own emerging compliant billing tool, not a hypothetical rival. Scoring Competition honestly for this buyer means asking, directly, what the prospect's own adviser has told them about 2027 — because if the answer is "my gestoría is already handling it," that answer should be believed and tested, not argued past.</t>
  </si>
  <si>
    <t xml:space="preserve">Scripts — Castellano and Català, side by side</t>
  </si>
  <si>
    <t xml:space="preserve">From 09-OUTREACH-KIT.md. Merge fields in [BRACKETS] must be resolved and verified before sending. Never invent a figure or a testimonial.</t>
  </si>
  <si>
    <t xml:space="preserve">Do not send until</t>
  </si>
  <si>
    <t xml:space="preserve">1.</t>
  </si>
  <si>
    <t xml:space="preserve">Every merge field is resolved and verified. No square-bracketed capitals remain in the outgoing text. The site reference ([CARRER, MUNICIPI] / [CALLE, MUNICIPIO]) was checked on the firm's own website or the municipal works permit, not inferred from 04-PROSPECTS.jsonl, whose municipality field failed audit at 30.8% error. The name in the salutation appears in the Registro Mercantil or on the firm's website, or the salutation is the neutral form.</t>
  </si>
  <si>
    <t xml:space="preserve">2.</t>
  </si>
  <si>
    <t xml:space="preserve">The contact channel is one the GDPR posture allows. Row 39's webmail address and row 70's mobile-shaped number get a manual look (04-EXTRACTION-QA.md); row 114's email field is the phone number duplicated and is not an address; Delgado &amp; Dilla and Lluca have no recovered channel and are reached through the registry or a referral, not a guessed address.</t>
  </si>
  <si>
    <t xml:space="preserve">3.</t>
  </si>
  <si>
    <t xml:space="preserve">Every consent placeholder is resolved. Each [REQUIRES CUSTOMER CONSENT] is either replaced with a quotation that a named customer approved in writing, or the line is deleted. The page prints without a testimonial before it prints with an unapproved one.</t>
  </si>
  <si>
    <t xml:space="preserve">4.</t>
  </si>
  <si>
    <t xml:space="preserve">The 2027 wording is re-checked against 03-TRIGGER-MAP.md §1 on the day of sending. The date (1 January 2027 for an S.L.), the user's exposure (€50,000 per financial year) and the sentence "the hard half is built, the last mile to the tax authority is not" are still true. If the submission channel has shipped since this kit was written, the wording changes to what 03-TRIGGER-MAP.md then says, and not before. The word "compliant" does not appear in any language.</t>
  </si>
  <si>
    <t xml:space="preserve">5.</t>
  </si>
  <si>
    <t xml:space="preserve">No figure from the value model has crept in. The 1.5% overpayment, the 30% of extras, the six days per quarter, the month-5 payback and the 9.7:1 ratio are modelled assumptions (06-VALUE-CASE.md §6) and are asked as questions about the prospect's own closed job, never stated about their firm.</t>
  </si>
  <si>
    <t xml:space="preserve">6.</t>
  </si>
  <si>
    <t xml:space="preserve">The Català was read once by a native speaker before the first send to a Catalan-first prospect, and the person who will take the call is a Catalan speaker (08-GTM-PLAN.md §5).</t>
  </si>
  <si>
    <t xml:space="preserve">7.</t>
  </si>
  <si>
    <t xml:space="preserve">The word counts hold. First-touch under 120 words per language, follow-ups under 100, LinkedIn under 300 characters, counted on the final merged text, not on this template.</t>
  </si>
  <si>
    <t xml:space="preserve">8.</t>
  </si>
  <si>
    <t xml:space="preserve">The three qualifying questions are ready for the call (06-VALUE-CASE.md §2.6): turnover against the €6,010,121.04 threshold, the last pre-qualification pack, and whether an accounting package is already in place. A firm that fails one is told so on the call, not sold to.</t>
  </si>
  <si>
    <t xml:space="preserve">Asset</t>
  </si>
  <si>
    <t xml:space="preserve">Castellano</t>
  </si>
  <si>
    <t xml:space="preserve">Català</t>
  </si>
  <si>
    <t xml:space="preserve">Asunto: [CALLE — verificar]: ejecutado y sin certificar
Hola [NOMBRE — solo si consta; si no, "Buenos días"]:
[La obra de CALLE, MUNICIPIO — verificar en su web o en el permiso] durará meses. En una obra así, lo del mes cuatro se certifica en el mes cinco si alguien hizo la medición. Y una parte, nunca.
Hacemos una cosa: la certificación sale sola de lo ejecutado menos lo facturado. Y el extra que el cliente acepta a pie de obra queda por escrito, dentro del presupuesto, no en un WhatsApp.
Vuestra gestoría y vuestro Excel se quedan.
¿Media hora en la obra? Traigo una obra vuestra cerrada y lo miramos sobre vuestros números.
[NOMBRE], [MÓVIL]</t>
  </si>
  <si>
    <t xml:space="preserve">Assumpte: [CARRER — verificar]: feina feta, feina cobrada?
Bon dia,
A [CARRER, MUNICIPI — verificar al web o al permís d'obres] hi teniu gent des de fa setmanes. Pregunta incòmoda: quant d'això ja està certificat? I quant és en un paper del cap d'obra, esperant l'amidament?
A les obres llargues passa a tothom. Es fa feina, es cobra tard, i alguna cosa no es cobra.
Fem que la certificació surti sola: executat menys facturat. I l'extra que el client accepta a peu d'obra queda per escrit, dins del pressupost, no en un WhatsApp.
La gestoria us la quedeu.
Mitja hora a l'obra? Porteu una obra tancada i ho mirem amb els vostres números.
[NOM], [MÒBIL]</t>
  </si>
  <si>
    <t xml:space="preserve">Follow-ups · Follow-up A — the 2027 invoicing obligation</t>
  </si>
  <si>
    <t xml:space="preserve">Asunto: 1 de enero de 2027 y vuestras facturas
Sois una S.L. Desde el 1 de enero de 2027, el programa de facturas tiene que dejar un registro encadenado y un QR en cada factura. La fecha ya se ha movido dos veces. Facturar con un sistema que no cumple: 50.000 € por ejercicio.
Tal cual: ya tenemos la numeración sin huecos y la cadena de registros. El tramo final hacia Hacienda (formato, QR, envío) se está construyendo ahora. Si vuestra gestoría os va a dar una herramienta antes, decídmelo y no insisto.
¿Un café esta semana?
[NOMBRE]</t>
  </si>
  <si>
    <t xml:space="preserve">Assumpte: L'1 de gener del 2027 i les vostres factures
Una cosa que no us vaig dir.
Sou una S.L. Des de l'1 de gener del 2027, el programa amb què factureu ha de deixar un registre encadenat i un codi QR a cada factura. Si no ho fa: 50.000 € de multa per exercici.
Tenim la part dura feta: numeració sense forats i registres encadenats. El tram cap a Hisenda —format, QR, enviament— l'estem acabant. No us diré que ja hi som; us diré on som.
Si la gestoria ja us ho té resolt, digueu-m'ho.
[NOM]</t>
  </si>
  <si>
    <t xml:space="preserve">Follow-ups · Follow-up B — the quarter and the gestoría</t>
  </si>
  <si>
    <t xml:space="preserve">Asunto: Del 1 al 20
Entre el 1 y el 20 alguien va a reconstruir el trimestre: compras, ventas, qué factura va con qué movimiento del banco, y por qué aquella reforma fue al tipo reducido. Si nadie lo apuntó entonces, Hacienda puede re-tipar la factura entera.
Con nosotros, el paquete para la gestoría no se cierra con un movimiento sin casar, y el motivo del tipo reducido queda grabado en la factura al emitirla. La gestoría sigue siendo la vuestra; le llega el trimestre ordenado.
Decidme qué gestoría tenéis y le pregunto qué formato quiere.
[NOMBRE]</t>
  </si>
  <si>
    <t xml:space="preserve">Assumpte: El trimestre, aquest cop sense refer-lo
Aviat toca trimestre. Algú de l'oficina es passarà dies lligant factures amb moviments del banc i buscant per què aquella reforma va anar al tipus reduït. Si ningú ho va apuntar llavors, balla tota la factura.
Amb nosaltres el paquet per a la gestoria no es tanca si queda un moviment sense casar, i el motiu del tipus reduït queda gravat a la factura el dia que s'emet. La gestoria és la de sempre; li arriba la feina feta.
Digueu-me quina gestoria teniu i li pregunto en quin format ho vol.
[NOM]</t>
  </si>
  <si>
    <t xml:space="preserve">LinkedIn message</t>
  </si>
  <si>
    <t xml:space="preserve">Hola [NOMBRE]. Obras de meses, certificaciones que salen tarde y extras que se quedan en un WhatsApp: eso es lo que arreglamos, sobre vuestros números y sin tocar a vuestra gestoría. ¿Media hora en la obra de [CALLE — comprobar]? Traigo una obra vuestra cerrada.</t>
  </si>
  <si>
    <t xml:space="preserve">Bon dia [NOM]. Obres llargues, certificacions que surten tard i extres que es queden en un WhatsApp. Això és el que arreglem, amb els vostres números i sense tocar-vos la gestoria. Mitja hora a l'obra de [CARRER — comprovar]? Porteu una obra tancada.</t>
  </si>
  <si>
    <t xml:space="preserve">One-page leave-behind</t>
  </si>
  <si>
    <t xml:space="preserve">[NOMBRE DEL PRODUCTO — según decida el operador]
Para constructoras de reformas de 12 a 40 personas, con varias obras abiertas a la vez
LA OBRA MANDA. EL PAPEL, NO.
Tres cosas que pasan en una obra de cinco meses:
1. Lo ejecutado no se certifica a tiempo. La medición del mes cuatro se factura en el mes cinco si alguien se acuerda. Y una parte, nunca.
2. El extra que el cliente aceptó de palabra se ejecuta y se discute al final. Sin la firma del cliente, se absorbe.
3. Del 1 al 20, alguien reconstruye el trimestre para la gestoría desde papeles y el extracto del banco.
Qué hace:
- Certificación = ejecutado − ya facturado. La calcula el sistema, no la memoria de nadie.
- El extra es un presupuesto más, enlazado al original. El cliente lo acepta; lo aceptado queda congelado, con las fotos enganchadas a la partida. Se factura porque existe.
- Compras por capítulo: comparas varias ofertas partida a partida, y el precio que falta se ve como que falta, no como un cero.
- La factura vencida se ve junto al extra sin firmar de esa misma obra. Se para antes.
- El paquete para la gestoría no se cierra con un movimiento del banco sin casar. El motivo del tipo reducido queda grabado en la factura el día que se emite.
- Los encargados ven partidas y mediciones. No ven dinero.
Qué no hace (mejor decirlo aquí que descubrirlo después):
- No sustituye a vuestra gestoría. Le llega el trimestre ordenado, en su formato; su cuota sigue siendo suya.
- No lleva el Libro de Subcontratación autorizado. Guarda los papeles de subcontratas y trabajadores con su fecha de caducidad y avisa cuando vencen. El libro sigue en la obra.
- No es todavía el sistema completo para la norma de facturación de 2027. Tiene la numeración sin huecos y la cadena de registros; el formato oficial, el QR y el envío a Hacienda se están construyendo con esa fecha delante.
Precio: 60 € al mes por obra activa. Mínimo 400 €, máximo 900 € al mes por empresa. Todos los usuarios y todas las obras, sin límite. Se cuentan las obras abiertas durante el mes, no las que quedan abiertas el día 31.
Lo que dice un cliente: [REQUIRES CUSTOMER CONSENT]
Siguiente paso: media hora con una obra vuestra ya cerrada. Miramos qué parte de las compras se comparó antes de comprometerlas y qué extras se llegaron a facturar. Con eso sabréis si os sale a cuenta antes de que os lo digamos nosotros.
[NOMBRE] · [MÓVIL] · [CORREO]</t>
  </si>
  <si>
    <t xml:space="preserve">[NOM DEL PRODUCTE — segons decideixi l'operador]
Per a constructores de reformes de 12 a 40 persones amb més d'una obra oberta
TRES PREGUNTES ABANS DE LLENÇAR AQUEST FULL
Primera. De l'última obra que vau tancar, quanta feina feta va trigar més d'un mes a certificar-se? I n'hi va haver que no es va certificar mai?
Segona. Quants extres va demanar el client a peu d'obra, i quants es van acabar facturant?
Tercera. Quants dies es va passar algú de l'oficina refent el trimestre per a la gestoria?
Si les tres respostes us fan mal, continueu llegint.
Què fem:
- La certificació surt sola: executat menys ja facturat. Ho calcula el sistema, no la memòria del cap d'obra.
- L'extra és un pressupost més, lligat a l'original. El client l'accepta i queda congelat, amb les fotos enganxades a la partida. Es factura perquè existeix.
- Les compres es comparen per capítol, oferta contra oferta, partida per partida. Un preu que falta es veu que falta; no surt com un zero.
- La factura vençuda es veu al costat de l'extra sense signar de la mateixa obra. S'atura abans.
- El paquet per a la gestoria no es tanca si hi ha un moviment del banc sense casar. El motiu del tipus reduït queda gravat a la factura el dia que s'emet.
- Els encarregats veuen partides i amidaments. Diners, cap.
Què no fem, i ho diem aquí:
- No us traiem la gestoria. Li arriba el trimestre fet, en el format que ens digui. La seva quota és seva.
- No portem el Llibre de Subcontractació autoritzat. Guardem els papers de subcontractes i treballadors amb la data de caducitat i avisem quan vencen. El llibre continua a l'obra.
- Encara no som el sistema complet per a la norma de facturació del 2027. La numeració sense forats i la cadena de registres hi són; el format oficial, el QR i l'enviament a Hisenda els estem acabant amb aquesta data al davant.
Preu: 60 € al mes per obra activa. Mínim 400 €, màxim 900 € al mes per empresa. Tots els usuaris i totes les obres, sense límit. Es compten les obres obertes durant el mes, no les que queden obertes el dia 31.
El que en diu un client: [REQUIRES CUSTOMER CONSENT]
Per començar: mitja hora amb una obra vostra tancada. Mirem quines compres es van comparar abans de comprometre-les i quins extres es van facturar. Amb això ja sabreu si us surt a compte, sense que us ho hàgim de dir nosaltres.
[NOM] · [MÒBIL] · [CORREU]</t>
  </si>
  <si>
    <t xml:space="preserve">The 90-second spoken pitch</t>
  </si>
  <si>
    <t xml:space="preserve">Minuto y medio, y luego decidís si merece un café.
Trabajo con constructoras de reformas como la vuestra: de doce a cuarenta personas, varias obras abiertas a la vez. La obra dura cinco meses. Lo del mes cuatro se certifica en el mes cinco, si alguien hizo la medición. Y algo se queda sin certificar. El cliente pide un cambio a pie de obra, el encargado lo hace, y al final se discute si estaba o no. Sin la firma del cliente, se absorbe. Y del uno al veinte, alguien reconstruye el trimestre para la gestoría desde papeles.
Lo que hacemos es concreto. La certificación sale de lo ejecutado menos lo facturado; la calcula el sistema. El extra es un presupuesto más, enlazado al original: el cliente lo acepta, queda congelado, se factura. El paquete para la gestoría no se cierra con un movimiento del banco sin casar.
Lo que no hacemos: no sustituimos a la gestoría. No llevamos el libro de subcontratación autorizado. Y para la norma de facturación de 2027 tenemos la cadena de registros; el envío a Hacienda se está terminando ahora.
Cuesta sesenta euros por obra activa al mes, entre cuatrocientos y novecientos por empresa. Todo el mundo dentro.
Lo que os pido: una obra cerrada. Miramos qué compras se compararon y qué extras se facturaron. Si no sale, os lo digo yo primero.</t>
  </si>
  <si>
    <t xml:space="preserve">Un minut i mig, i després em dieu si val un cafè.
Treballo amb constructores de reformes com la vostra. Dotze, vint, quaranta persones. Més d'una obra oberta alhora. Obra de cinc mesos: el que es fa el mes quatre es certifica el mes cinc, si algú va fer l'amidament. I sempre hi ha un tros que no es certifica. El client demana un canvi a peu d'obra, l'encarregat el fa, i al final ve la discussió de si hi era o no. Sense la signatura del client, ho pagueu vosaltres. I quan toca trimestre, algú de l'oficina es passa dies refent-lo per a la gestoria.
Nosaltres fem tres coses. La certificació surt sola: executat menys facturat, ho calcula el sistema. L'extra és un pressupost lligat a l'original: el client l'accepta, queda congelat, es factura. I el paquet per a la gestoria no es tanca mentre hi hagi un moviment del banc sense casar.
El que no fem, dit ara: no us traiem la gestoria. No portem el llibre de subcontractació autoritzat. I per a la norma de facturació del 2027 tenim la cadena de registres; l'enviament a Hisenda l'estem acabant.
Val seixanta euros per obra activa al mes, entre quatre-cents i nou-cents per empresa, tothom inclòs.
El que us demano és una obra tancada. Mirem quines compres vau comparar i quins extres vau cobrar. Si no surt a compte, us ho dic jo abans que ningú.</t>
  </si>
  <si>
    <t xml:space="preserve">Referral-request note for a gestoría or aparellador to forward</t>
  </si>
  <si>
    <t xml:space="preserve">Para [NOMBRE DEL GESTOR / APARELLADOR — verificar que tiene clientes constructores antes de enviar]:
Si tienes un cliente constructor de reformas con cuatro o más obras abiertas y un trimestre que te llega en papel, esto es para reenviárselo tal cual. Tu cuota no está en juego: el trimestre te llega cerrado, en el formato que tú nos digas, y tú sigues siendo su gestoría. Si te parece bien, dime qué formato quieres y lo preparamos así.
---
Hola:
Te escribo porque [NOMBRE DEL GESTOR / APARELLADOR] me ha dicho que os puede interesar; si no es así, con un "no" me vale.
Trabajamos con constructoras de reformas de 12 a 40 personas. Tres cosas, y nada más:
- La certificación sale sola de lo ejecutado menos lo facturado. [VARIANTE APARELLADOR: la certificación se calcula sobre la medición, no sobre lo que alguien recuerda, y el extra lleva las fotos enganchadas a la partida.]
- El extra que el cliente acepta a pie de obra queda por escrito y se factura, en vez de absorberse.
- El trimestre le llega a [NOMBRE DEL GESTOR] cerrado, sin ningún movimiento del banco sin casar, con el motivo de cada tipo reducido grabado en la factura. [NOMBRE DEL GESTOR] sigue siendo vuestra gestoría.
Lo que no hacemos, para que quede dicho: no llevamos el libro de subcontratación autorizado, y para la norma de facturación de 2027 tenemos la cadena de registros, no todavía el envío a Hacienda; eso se está terminando con esa fecha.
Si os cuadra, media hora con una obra ya cerrada. Se mira sobre vuestros números y se decide.
[NOMBRE] · [MÓVIL]</t>
  </si>
  <si>
    <t xml:space="preserve">Per a [NOM DEL GESTOR / APARELLADOR — comprovar que porta constructores abans d'enviar]:
Si tens algun client constructor de reformes amb quatre obres obertes o més, i cada trimestre t'arriba en una capsa de sabates, reenvia-li això tal com està. La teva quota no hi entra: el trimestre t'arribarà tancat, en el format que tu ens diguis, i continues sent la seva gestoria. Si et va bé, digue'm quin format vols i ho muntem així.
---
Bon dia,
Us escric perquè [NOM DEL GESTOR / APARELLADOR] m'ha dit que potser us interessa. Si no, un "no" i llestos.
Treballem amb constructores de reformes de 12 a 40 persones. Fem tres coses:
- La certificació surt sola, del que s'ha executat menys el que ja s'ha facturat. [VARIANT APARELLADOR: es calcula sobre l'amidament, no sobre el que algú recorda, i l'extra porta les fotos enganxades a la partida.]
- L'extra que el client accepta a peu d'obra queda per escrit i es cobra, en lloc d'assumir-lo vosaltres.
- El trimestre arriba a [NOM DEL GESTOR] tancat, sense cap moviment del banc sense casar, i amb el motiu de cada tipus reduït gravat a la factura. [NOM DEL GESTOR] continua sent la vostra gestoria.
El que no fem, perquè quedi dit: no portem el llibre de subcontractació autoritzat, i per a la norma de facturació del 2027 tenim la cadena de registres però encara no l'enviament a Hisenda; s'està acabant amb aquesta data al davant.
Si us quadra, mitja hora amb una obra tancada. Es mira amb els vostres números i decidiu.
[NOM] · [MÒBIL]</t>
  </si>
  <si>
    <t xml:space="preserve">Claims register — what each figure in the copy rests on</t>
  </si>
  <si>
    <t xml:space="preserve">Claim as used in the copy</t>
  </si>
  <si>
    <t xml:space="preserve">Line in 06-VALUE-CASE.md</t>
  </si>
  <si>
    <t xml:space="preserve">C1</t>
  </si>
  <si>
    <t xml:space="preserve">On a five-month job, work executed in month four is billed in month five if someone remembers the measurement, and partly never</t>
  </si>
  <si>
    <t xml:space="preserve">line 169 (§2.2)</t>
  </si>
  <si>
    <t xml:space="preserve">C2</t>
  </si>
  <si>
    <t xml:space="preserve">The progress valuation is computed as executed minus already billed; it is arithmetic the system performs, not a habit the owner must form</t>
  </si>
  <si>
    <t xml:space="preserve">lines 169, 207 (§2.2, §2.4), line 219 (§2.5)</t>
  </si>
  <si>
    <t xml:space="preserve">C3</t>
  </si>
  <si>
    <t xml:space="preserve">Extras accepted on site and never invoiced (modelled at 2.5 per job, about €3,000, 30% never invoiced)</t>
  </si>
  <si>
    <t xml:space="preserve">line 167 (§2.2)</t>
  </si>
  <si>
    <t xml:space="preserve">C4</t>
  </si>
  <si>
    <t xml:space="preserve">A variation is a real budget joined to the original by acceptance; acceptance freezes what was agreed; the graphic annex keys photos to chapter and line</t>
  </si>
  <si>
    <t xml:space="preserve">lines 64, 99 (§1.2, §1.4), line 205 (§2.4)</t>
  </si>
  <si>
    <t xml:space="preserve">C5</t>
  </si>
  <si>
    <t xml:space="preserve">Comparing supplier and subcontract prices by hand costs hours per job, and incomplete comparison overpays — the least-evidenced number in the file</t>
  </si>
  <si>
    <t xml:space="preserve">lines 157–159 (§2.1)</t>
  </si>
  <si>
    <t xml:space="preserve">C6</t>
  </si>
  <si>
    <t xml:space="preserve">Sourcing compares several bidders line by line with per-chapter totals, and a missing price shows as missing rather than zero</t>
  </si>
  <si>
    <t xml:space="preserve">line 203 (§2.4), line 96 (§1.4)</t>
  </si>
  <si>
    <t xml:space="preserve">C7</t>
  </si>
  <si>
    <t xml:space="preserve">Verifactu: an S.L. must have adapted its invoicing software before 1 January 2027; the user's exposure is €50,000 per financial year</t>
  </si>
  <si>
    <t xml:space="preserve">line 189 (§2.3), citing 03-TRIGGER-MAP.md §1</t>
  </si>
  <si>
    <t xml:space="preserve">C8</t>
  </si>
  <si>
    <t xml:space="preserve">The product holds gapless immutable numbering and a per-tenant SHA-256 chain, but NOT the official record layout, the QR content, the event log or the submission channel</t>
  </si>
  <si>
    <t xml:space="preserve">line 209 (§2.4), line 403 (§4.2), 08 objection 9</t>
  </si>
  <si>
    <t xml:space="preserve">C9</t>
  </si>
  <si>
    <t xml:space="preserve">The reduced-rate justification (inputs, rule, legal basis, pack version) is persisted on the invoice at issue; one failed condition re-rates the whole invoice</t>
  </si>
  <si>
    <t xml:space="preserve">line 26 (§0.2), line 209 (§2.4)</t>
  </si>
  <si>
    <t xml:space="preserve">C10</t>
  </si>
  <si>
    <t xml:space="preserve">The quarter is reconstructed from paper (modelled at five administrative days plus one owner day per quarter)</t>
  </si>
  <si>
    <t xml:space="preserve">line 177 (§2.3)</t>
  </si>
  <si>
    <t xml:space="preserve">C11</t>
  </si>
  <si>
    <t xml:space="preserve">The archive for the adviser refuses to build while any bank movement is unallocated; the export format is pending the adviser's own format</t>
  </si>
  <si>
    <t xml:space="preserve">line 100 (§1.4), line 203 (§2.4)</t>
  </si>
  <si>
    <t xml:space="preserve">C12</t>
  </si>
  <si>
    <t xml:space="preserve">The gestoría retainer does not fall when the product is bought; 86–91% of the incumbent's cash cost survives; the product is additive spend</t>
  </si>
  <si>
    <t xml:space="preserve">lines 388–390 (§4.1)</t>
  </si>
  <si>
    <t xml:space="preserve">C13</t>
  </si>
  <si>
    <t xml:space="preserve">The Libro de Subcontratación must be on site; the product does NOT provide the authorised book, only dated subcontractor and worker documents with expiry alerts</t>
  </si>
  <si>
    <t xml:space="preserve">line 193 (§2.3), line 209 (§2.4), line 249 (§2.6)</t>
  </si>
  <si>
    <t xml:space="preserve">C14</t>
  </si>
  <si>
    <t xml:space="preserve">Earlier visibility of an overdue balance against an unsigned variation would have stopped work sooner</t>
  </si>
  <si>
    <t xml:space="preserve">line 187 (§2.3)</t>
  </si>
  <si>
    <t xml:space="preserve">C15</t>
  </si>
  <si>
    <t xml:space="preserve">Price: €60 per active site per month, floor €400, cap €900 per legal entity, all users and all projects included; billed on sites opened in the period</t>
  </si>
  <si>
    <t xml:space="preserve">lines 260–264 (§2.7), line 413 (§5)</t>
  </si>
  <si>
    <t xml:space="preserve">C16</t>
  </si>
  <si>
    <t xml:space="preserve">The firm already buys per site — skip hire, scaffolding, site insurance, prevention coordination</t>
  </si>
  <si>
    <t xml:space="preserve">line 262 (§2.7)</t>
  </si>
  <si>
    <t xml:space="preserve">C17</t>
  </si>
  <si>
    <t xml:space="preserve">Crew see line items and measurements, never money: every money figure is removed server-side before it reaches a worker's device</t>
  </si>
  <si>
    <t xml:space="preserve">line 266 (§2.7), line 419 (§5)</t>
  </si>
  <si>
    <t xml:space="preserve">C18</t>
  </si>
  <si>
    <t xml:space="preserve">Payback modelled at month 5 central, month 8 on the slow ramp</t>
  </si>
  <si>
    <t xml:space="preserve">lines 217–219 (§2.5)</t>
  </si>
  <si>
    <t xml:space="preserve">C19</t>
  </si>
  <si>
    <t xml:space="preserve">Three qualifying questions before anything is designed: turnover against the €6,010,121.04 threshold, the last pre-qualification pack, an accounting package in place</t>
  </si>
  <si>
    <t xml:space="preserve">line 256 (§2.6)</t>
  </si>
  <si>
    <t xml:space="preserve">C20</t>
  </si>
  <si>
    <t xml:space="preserve">No revenue growth is claimed anywhere — not more jobs won, not bigger jobs, not a price premium</t>
  </si>
  <si>
    <t xml:space="preserve">line 13 (§0.1)</t>
  </si>
  <si>
    <t xml:space="preserve">C21</t>
  </si>
  <si>
    <t xml:space="preserve">Segment definition: renovation-led general builders, 12–40 employees, several concurrent sites, months-long jobs, most of the cost through subcontractors and suppliers</t>
  </si>
  <si>
    <t xml:space="preserve">lines 151, 42 (§2 box, §0.3)</t>
  </si>
  <si>
    <t xml:space="preserve">N1</t>
  </si>
  <si>
    <t xml:space="preserve">Verifactu date moved twice, last to 1 January 2027; "hard half built, last mile not"</t>
  </si>
  <si>
    <t xml:space="preserve">03-TRIGGER-MAP.md §1; 08-GTM-PLAN.md §6 obj. 9</t>
  </si>
  <si>
    <t xml:space="preserve">N2</t>
  </si>
  <si>
    <t xml:space="preserve">The demonstration is run on the prospect's own firm name, tax identifier and catalogue</t>
  </si>
  <si>
    <t xml:space="preserve">08-GTM-PLAN.md §4 stage 3</t>
  </si>
  <si>
    <t xml:space="preserve">The twelve objections, with the honest answer</t>
  </si>
  <si>
    <t xml:space="preserve">From 08-GTM-PLAN.md §6. Three of them mean we are not the right fit — say so.</t>
  </si>
  <si>
    <t xml:space="preserve">Objection</t>
  </si>
  <si>
    <t xml:space="preserve">Honest answer</t>
  </si>
  <si>
    <t xml:space="preserve">1</t>
  </si>
  <si>
    <t xml:space="preserve">"Why would I pay for this when I already have a spreadsheet and a gestoría?"</t>
  </si>
  <si>
    <t xml:space="preserve">Concede the premise before arguing past it: 06-VALUE-CASE.md §4.1 shows the incumbent's cash cost (€3,000–€6,500 a year across the three segments) does not fall when you buy this — 86–91% of it survives — so this is additive spend, not a substitution. The case for it is a cash-flow effect on your own margin, not a fee replaced, and the central-case payback is five to eight months depending on your segment.</t>
  </si>
  <si>
    <t xml:space="preserve">2</t>
  </si>
  <si>
    <t xml:space="preserve">"My gestoría says they'll give me a compliant billing tool for the 2027 rule anyway — why do I need you?"</t>
  </si>
  <si>
    <t xml:space="preserve">Take this seriously rather than argue past it — 06-VALUE-CASE.md names it directly as the sharpest competitive threat in the whole roadmap, because it costs you nothing incremental. Ask to see what your adviser is actually planning and when; if it is real and dated before January 2027, that is a legitimate reason to decline our compliance pitch specifically, even if the rest of the case still stands on the margin-visibility side.</t>
  </si>
  <si>
    <t xml:space="preserve">3</t>
  </si>
  <si>
    <t xml:space="preserve">"We only run two or three jobs at a time."</t>
  </si>
  <si>
    <t xml:space="preserve">Not the right fit today. 02-ICP-AND-RUBRIC.md's soft gate on job count caps the score here, and 06-VALUE-CASE.md §3.6 concedes plainly that Excel and a gestoría remain the rational choice below four simultaneous jobs — the product's central value has no one to serve at this scale. The honest recommendation is to keep doing what you are doing.</t>
  </si>
  <si>
    <t xml:space="preserve">4</t>
  </si>
  <si>
    <t xml:space="preserve">"It's just me and one guy — my brother-in-law does the rest."</t>
  </si>
  <si>
    <t xml:space="preserve">Not the right fit. 02-ICP-AND-RUBRIC.md A.6 names this shape directly and recommends decline: there is no second administrative person, so the operations-versus-administration permission split the product is built around has no one to hold the second half of it.</t>
  </si>
  <si>
    <t xml:space="preserve">5</t>
  </si>
  <si>
    <t xml:space="preserve">"Most of our work is public — schools, town-hall jobs."</t>
  </si>
  <si>
    <t xml:space="preserve">Not the right fit within the current planning horizon. Public-sector work is a hard gate in 02-ICP-AND-RUBRIC.md A.5: it requires tender-file handling, classification registers and public-sector e-invoicing the jurisdiction pack does not hold today. This is a real, named future investment case, not a configuration question, and it should not be sold as one.</t>
  </si>
  <si>
    <t xml:space="preserve">6</t>
  </si>
  <si>
    <t xml:space="preserve">"We already run an accounting package / ERP."</t>
  </si>
  <si>
    <t xml:space="preserve">Not the right fit, and the honest reason is structural, not competitive. The product's central claim — one record of truth, no second copy anywhere — is unhonourable next to an incumbent ledger; 02-ICP-AND-RUBRIC.md treats this as a hard gate rather than an integration opportunity, because two systems recording the same facts agree until the day a customer notices they do not.</t>
  </si>
  <si>
    <t xml:space="preserve">7</t>
  </si>
  <si>
    <t xml:space="preserve">"Two-thirds of our revenue is maintenance contracts, not project work."</t>
  </si>
  <si>
    <t xml:space="preserve">Not yet the right fit. There is no recurring-contract object or service-level clock in the product today (02-ICP-AND-RUBRIC.md A.6, "the service-led climate installer with a maintenance book"); a firm earning the majority of its revenue this way is a decline now and a named Tier C candidate once the recurring-contract pack — costed and quantified in 07-TAILORING-ECONOMICS.md §6 — is built.</t>
  </si>
  <si>
    <t xml:space="preserve">8</t>
  </si>
  <si>
    <t xml:space="preserve">"Can you give me contracts and quotations in Catalan today?"</t>
  </si>
  <si>
    <t xml:space="preserve">Partially, and this must be said before a contract, not after. The documents generate in Catalan, but the Catalan text itself is machine-authored and awaiting a native reviewer (00-REFERENCE-CASE.md C.3) — 02-ICP-AND-RUBRIC.md's own soft gate on this exact question caps the fit score and requires disclosure before signature.</t>
  </si>
  <si>
    <t xml:space="preserve">9</t>
  </si>
  <si>
    <t xml:space="preserve">"Will this make me fully compliant with the new invoicing law on day one?"</t>
  </si>
  <si>
    <t xml:space="preserve">Not yet, and this is stated without softening because 06-VALUE-CASE.md §4.2 states it the same way: the official Verifactu record layout, QR content, event log and submission channel are not built yet. The immutable, gapless, hash-chained invoicing that regime will require is in place; the last mile that connects it to the tax authority's own channel is a dated, bounded, still-open piece of work with the same 1 January 2027 deadline you have.</t>
  </si>
  <si>
    <t xml:space="preserve">10</t>
  </si>
  <si>
    <t xml:space="preserve">"How do I know these savings numbers are real for my business, not just a model?"</t>
  </si>
  <si>
    <t xml:space="preserve">They are not measured on your business — they are a modelled estimate built from named assumptions with explicit ranges (06-VALUE-CASE.md's own method), offered so they can be challenged rather than believed. The cheapest way to test them costs you nothing: pull one completed job file and check what share of third-party spend was actually compared before it was committed, and what share of extras on that job were ever invoiced — those two assumptions carry more of the case than any other single number in the model.</t>
  </si>
  <si>
    <t xml:space="preserve">11</t>
  </si>
  <si>
    <t xml:space="preserve">"I want to see this working on my own jobs before I decide anything."</t>
  </si>
  <si>
    <t xml:space="preserve">Yes, and it is genuinely cheap to do — a real tenant seeded with your own catalogue and one real document costs roughly €560 to €1,120 in delivery time and three to ten working days, mostly spent waiting on your own paperwork rather than on engineering (07-TAILORING-ECONOMICS.md §3). One honest caveat: we can only run this for a small number of firms at once today, because two customers cannot yet safely share one deployment, so this will be sequenced rather than offered to everyone simultaneously.</t>
  </si>
  <si>
    <t xml:space="preserve">12</t>
  </si>
  <si>
    <t xml:space="preserve">"We're a civil partnership (an S.C.P.), not an S.L. — does this even apply to us?"</t>
  </si>
  <si>
    <t xml:space="preserve">A partial not-right-fit, worth stating plainly rather than smoothing over. The permission model and billing configuration were built around a single-administrator S.L.; a civil partnership's different liability and banking envelope means the fit "has to be argued, not assumed" (05-TARGET-LIST.md), which is why these firms sit in Tier B rather than Tier A, at a capped score. The onboarding is still config-only, but the first conversation costs more and converts less often — a fair trade for a firm willing to have that conversation, not a reason to lead with this segment.</t>
  </si>
  <si>
    <t xml:space="preserve">Triggers — why they buy now, and the sentence to open with</t>
  </si>
  <si>
    <t xml:space="preserve">From 03-TRIGGER-MAP.md. Rank 1 is the Verifactu deadline; the opener is the diagnostic question, not a pitch.</t>
  </si>
  <si>
    <t xml:space="preserve">Rank</t>
  </si>
  <si>
    <t xml:space="preserve">Trigger</t>
  </si>
  <si>
    <t xml:space="preserve">Open with</t>
  </si>
  <si>
    <t xml:space="preserve">Verifactu — 1 January 2027, 111 days away, and it is the firm's own billing software that must change.</t>
  </si>
  <si>
    <t xml:space="preserve">"Your company is a sociedad limitada, so from 1 January 2027 the software that issues your invoices has to generate a signed, chained billing record with a QR code for every invoice — a royal decree already moved that date twice, the last time to 2027, and it will not move because your current process is a quotation pad and a spreadsheet."</t>
  </si>
  <si>
    <t xml:space="preserve">The quarterly filing cycle and the gestoría hand-off — the pain is now, every ninety days, and it is measurable before and after.</t>
  </si>
  <si>
    <t xml:space="preserve">"Between the 1st and the 20th of next month somebody in your office will reconstruct a quarter of purchases and sales from paper to get the VAT return out, and the reason last year's reduced-rate invoices are a risk is that nobody wrote down why the rate was reduced at the time."</t>
  </si>
  <si>
    <t xml:space="preserve">Subcontracting compliance — the subcontracting book, the accredited-undertakings register, the coordination duties and the trade cards.</t>
  </si>
  <si>
    <t xml:space="preserve">"Every new site brings a request for your subcontractors' registration, insurance and training documents, and the subcontracting book has to be on the site and current — today that lives in a folder, and the day a coordinator or an inspector asks you for it is the day it is either complete or it is not."</t>
  </si>
  <si>
    <t xml:space="preserve">Mandatory business-to-business electronic invoicing — certain in substance, undated in fact, and arriving at your customers first.</t>
  </si>
  <si>
    <t xml:space="preserve">"The regulation for mandatory electronic invoicing between companies was published in March, your obligation starts two years after a ministerial order that has not appeared yet, and your larger general contractors start a year before you do — which means they will ask you for structured invoices before the law does."</t>
  </si>
  <si>
    <t xml:space="preserve">The immediate information supply threshold — only for the top of the band, and it changes the conversation entirely.</t>
  </si>
  <si>
    <t xml:space="preserve">"If your turnover goes past about six million you move to supplying every invoice to the tax authority within four days, which also takes you out of the 2027 billing-software regime — so the right question before we design anything is which side of that line you will be on in two years."</t>
  </si>
  <si>
    <t xml:space="preserve">Digitalisation subsidy — an accelerant, not a trigger.</t>
  </si>
  <si>
    <t xml:space="preserve">"There is no Kit Digital window open to apply to right now, and the Catalan vouchers fund advice rather than licences — so if we do this, we do it because the quarter costs you a week of your own time, and we treat any grant that reopens as a discount rather than as the reason."</t>
  </si>
  <si>
    <t xml:space="preserve">Non-regulatory triggers — detectable from outside</t>
  </si>
  <si>
    <t xml:space="preserve">What it is, and why it forces a purchase</t>
  </si>
  <si>
    <t xml:space="preserve">Detectable from outside by</t>
  </si>
  <si>
    <t xml:space="preserve">Failed inspection or sanction</t>
  </si>
  <si>
    <t xml:space="preserve">A Labour Inspectorate visit or a safety sanction converts paperwork from an annoyance into an exposure with a file number; the owner's tolerance for "it is in a folder somewhere" drops to zero for roughly one quarter</t>
  </si>
  <si>
    <t xml:space="preserve">Published very serious prevention sanctions under RD 597/2007; labour-authority and autonomous-community sanction publications; court and administrative-appeal listings; local press on site accidents; sudden appearance of a prevention-service or compliance-consultant logo on the firm's own site</t>
  </si>
  <si>
    <t xml:space="preserve">Margin lost on a large job</t>
  </si>
  <si>
    <t xml:space="preserve">A job that ended below cost and nobody can say where; the single most common reason a construction SME buys job costing, and the only trigger that makes the owner rather than the administrator the buyer</t>
  </si>
  <si>
    <t xml:space="preserve">Filed accounts showing a margin break against the prior year (SABI, eInforma, Registro Mercantil); a permit record for one unusually large works in the prior year against an otherwise small portfolio; supplier-side payment delays visible in commercial credit reports; narrative confirmation needs the qualifying call</t>
  </si>
  <si>
    <t xml:space="preserve">Generational handover</t>
  </si>
  <si>
    <t xml:space="preserve">A son or daughter entering the business, or an owner approaching retirement; the incoming generation will not accept the outgoing one's head as the system of record, and has the standing to spend</t>
  </si>
  <si>
    <t xml:space="preserve">BORME changes in administrators and powers of attorney; a second family surname appearing as an officer; the firm's own website and LinkedIn showing a new role such as _gerència_ or _direcció tècnica_; age of the incumbent administrator inferred from appointment history</t>
  </si>
  <si>
    <t xml:space="preserve">Incumbent software renewal date</t>
  </si>
  <si>
    <t xml:space="preserve">A licence or subscription anniversary is the only moment an SME compares alternatives; outside it, switching costs dominate</t>
  </si>
  <si>
    <t xml:space="preserve">The incumbent's own public case studies and customer lists; job adverts naming a product ("experiencia con &lt;product&gt;"); a vendor logo or partner badge on the firm's site; invoice or quotation PDFs carrying a generator fingerprint in their metadata where such documents are public; renewal month itself usually needs the qualifying call</t>
  </si>
  <si>
    <t xml:space="preserve">Change of gestoría</t>
  </si>
  <si>
    <t xml:space="preserve">A new external accountant re-specifies what the client must deliver and in what format, and is often the one who says the current arrangement cannot continue; also the highest-leverage referral channel in the whole map</t>
  </si>
  <si>
    <t xml:space="preserve">Change of the filing agent or deposit presenter on the most recent accounts deposit; a new advisory firm's logo or reference on the company's site; the gestoría's own client announcements; confirmation needs the qualifying call</t>
  </si>
  <si>
    <t xml:space="preserve">Rapid headcount growth</t>
  </si>
  <si>
    <t xml:space="preserve">Crossing roughly eight to ten employees, or going from four to nine simultaneous jobs, is the point at which one person can no longer hold the job portfolio in their head — the real variable behind the ICP's employee band</t>
  </si>
  <si>
    <t xml:space="preserve">Social-security employee bands over time (SABI, eInforma, Informa); volume and recency of job adverts on InfoJobs, Indeed and LinkedIn; LinkedIn employee-count trend; count and value of works permits per municipality; fleet and crew visible in recent street-level imagery and the firm's own social posts</t>
  </si>
  <si>
    <t xml:space="preserve">A new large general-contractor client</t>
  </si>
  <si>
    <t xml:space="preserve">A contractor above the electronic-invoicing threshold, or one with a supplier portal, imposes its own document and invoice requirements on the subcontractor as a condition of payment</t>
  </si>
  <si>
    <t xml:space="preserve">The firm's own portfolio and social posts naming the contractor or the development; contractor press releases and development marketing naming its chain; site hoardings and municipal permit records listing principal undertaking and subcontractors</t>
  </si>
  <si>
    <t xml:space="preserve">Working-capital stress</t>
  </si>
  <si>
    <t xml:space="preserve">Retentions plus long customer terms against shorter supplier terms, with nobody owning the receivables ledger; makes collections visibility the lead benefit rather than compliance</t>
  </si>
  <si>
    <t xml:space="preserve">Average payment period and any late-payment disclosure in the filed accounts; commercial credit reports and payment-behaviour scores; appearance in supplier-default registries; filings of accounts late or abbreviated</t>
  </si>
  <si>
    <t xml:space="preserve">Loss of the key administrative person</t>
  </si>
  <si>
    <t xml:space="preserve">The one person who knows how the quarter is assembled leaves or retires; the knowledge leaves with them and the successor demands a system</t>
  </si>
  <si>
    <t xml:space="preserve">Job adverts for administrative, accounting or _administració d'obra_ roles; LinkedIn departures; a change in the contact name on the firm's own website and invoices</t>
  </si>
  <si>
    <t xml:space="preserve">New premises, yard or second entity</t>
  </si>
  <si>
    <t xml:space="preserve">A move or a second company adds an entity, a cost centre and a second set of books, which breaks a single spreadsheet</t>
  </si>
  <si>
    <t xml:space="preserve">BORME incorporation of a sibling entity or a change of registered office; commercial-register address changes; a second address on the website or in review listings; municipal activity licences</t>
  </si>
  <si>
    <t xml:space="preserve">Acquisition or absorption of a competitor</t>
  </si>
  <si>
    <t xml:space="preserve">Two chart-of-account conventions and two quotation traditions must be merged; the merged entity cannot run on either spreadsheet</t>
  </si>
  <si>
    <t xml:space="preserve">BORME merger and absorption notices; accounts showing a discontinuity in revenue and headcount; press and sector-association announcements</t>
  </si>
  <si>
    <t xml:space="preserve">Certification or membership requiring documented process</t>
  </si>
  <si>
    <t xml:space="preserve">Quality, safety or environmental certification, or a professional-association membership, imposes written procedures and evidence that a folder cannot produce</t>
  </si>
  <si>
    <t xml:space="preserve">Certification-body public registries; certification marks on the firm's website and vehicles; membership listings of sector associations and professional bodies such as CAATEEB and the gremis</t>
  </si>
  <si>
    <t xml:space="preserve">Pricing by segment, and the pilot term sheet</t>
  </si>
  <si>
    <t xml:space="preserve">Pipeline's ACV is looked up here by Segment. Figures are the value case's hypotheses (06-VALUE-CASE.md §5) — blue, editable.</t>
  </si>
  <si>
    <t xml:space="preserve">Who</t>
  </si>
  <si>
    <t xml:space="preserve">Pricing model</t>
  </si>
  <si>
    <t xml:space="preserve">Annual ACV (€)</t>
  </si>
  <si>
    <t xml:space="preserve">Monthly (€)</t>
  </si>
  <si>
    <t xml:space="preserve">Onboarding fee (€)</t>
  </si>
  <si>
    <t xml:space="preserve">Payback</t>
  </si>
  <si>
    <t xml:space="preserve">Source</t>
  </si>
  <si>
    <t xml:space="preserve">Finishing and completion trades (CNAE 43.3x/43.9x, S.L.)</t>
  </si>
  <si>
    <t xml:space="preserve">Flat per legal entity, banded by headcount</t>
  </si>
  <si>
    <t xml:space="preserve">6 months (central), 10 (slow)</t>
  </si>
  <si>
    <t xml:space="preserve">06-VALUE-CASE.md §1.7, §5</t>
  </si>
  <si>
    <t xml:space="preserve">Renovation-led general building contractors (division 41, S.L.)</t>
  </si>
  <si>
    <t xml:space="preserve">Per active site: €60/site/month, floor €400, cap €900</t>
  </si>
  <si>
    <t xml:space="preserve">5 months (central), 8 (slow)</t>
  </si>
  <si>
    <t xml:space="preserve">06-VALUE-CASE.md §2.7, §5</t>
  </si>
  <si>
    <t xml:space="preserve">Owner-partner micro-contractors (non-S.L. forms)</t>
  </si>
  <si>
    <t xml:space="preserve">Flat per legal entity, 8-hour onboarding cap</t>
  </si>
  <si>
    <t xml:space="preserve">8 months (central), 12 (slow) — conceded below 4 simultaneous jobs</t>
  </si>
  <si>
    <t xml:space="preserve">06-VALUE-CASE.md §3.7, §5</t>
  </si>
  <si>
    <t xml:space="preserve">Pricing hypothesis by segment — as written in the value case</t>
  </si>
  <si>
    <t xml:space="preserve">Definition</t>
  </si>
  <si>
    <t xml:space="preserve">Firms in Tier A+B</t>
  </si>
  <si>
    <t xml:space="preserve">Recommended model</t>
  </si>
  <si>
    <t xml:space="preserve">Price</t>
  </si>
  <si>
    <t xml:space="preserve">**Planning ACV**</t>
  </si>
  <si>
    <t xml:space="preserve">One-time onboarding</t>
  </si>
  <si>
    <t xml:space="preserve">Captured annual value</t>
  </si>
  <si>
    <t xml:space="preserve">Value-to-price</t>
  </si>
  <si>
    <t xml:space="preserve">**Payback, central**</t>
  </si>
  <si>
    <t xml:space="preserve">Breach threshold for payback &gt; 24 months</t>
  </si>
  <si>
    <t xml:space="preserve">S1 — Finishing and completion trades</t>
  </si>
  <si>
    <t xml:space="preserve">CNAE 43.3x/43.9x, S.L., 8–15 employees, €1.0m–€2.5m, L0</t>
  </si>
  <si>
    <t xml:space="preserve">12 (4 Tier A)</t>
  </si>
  <si>
    <t xml:space="preserve">Flat, per legal entity, banded by headcount</t>
  </si>
  <si>
    <t xml:space="preserve">€300/month</t>
  </si>
  <si>
    <t xml:space="preserve">€3,600/year</t>
  </si>
  <si>
    <t xml:space="preserve">€1,200</t>
  </si>
  <si>
    <t xml:space="preserve">€23,550</t>
  </si>
  <si>
    <t xml:space="preserve">6.5:1</t>
  </si>
  <si>
    <t xml:space="preserve">6 months</t>
  </si>
  <si>
    <t xml:space="preserve">Captured value falls to 24% of central (€5,650/yr)</t>
  </si>
  <si>
    <t xml:space="preserve">S2 — Renovation-led general building contractors</t>
  </si>
  <si>
    <t xml:space="preserve">CNAE division 41, S.L., 12–40 employees, €2.0m–€8.0m, L0</t>
  </si>
  <si>
    <t xml:space="preserve">19 (3 Tier A)</t>
  </si>
  <si>
    <t xml:space="preserve">Per-site, €60 per active site per month, floor €400, cap €900, per legal entity</t>
  </si>
  <si>
    <t xml:space="preserve">€540/month at 9 concurrent sites</t>
  </si>
  <si>
    <t xml:space="preserve">€6,480/year</t>
  </si>
  <si>
    <t xml:space="preserve">€2,400</t>
  </si>
  <si>
    <t xml:space="preserve">€63,040</t>
  </si>
  <si>
    <t xml:space="preserve">9.7:1</t>
  </si>
  <si>
    <t xml:space="preserve">5 months</t>
  </si>
  <si>
    <t xml:space="preserve">Captured value falls to 16% of central (€10,100/yr)</t>
  </si>
  <si>
    <t xml:space="preserve">S3 — Owner-partner micro-contractors</t>
  </si>
  <si>
    <t xml:space="preserve">Non-S.L. form (S.C.P./S.C.C.L./S.A.), 3–7 employees, €0.4m–€1.0m, L0 with administrative distance</t>
  </si>
  <si>
    <t xml:space="preserve">6 (0 Tier A)</t>
  </si>
  <si>
    <t xml:space="preserve">Flat, per legal entity, with a hard eight-hour onboarding cap</t>
  </si>
  <si>
    <t xml:space="preserve">€180/month</t>
  </si>
  <si>
    <t xml:space="preserve">€2,160/year</t>
  </si>
  <si>
    <t xml:space="preserve">€900</t>
  </si>
  <si>
    <t xml:space="preserve">€10,200</t>
  </si>
  <si>
    <t xml:space="preserve">4.7:1</t>
  </si>
  <si>
    <t xml:space="preserve">8 months (12 on the slow ramp)</t>
  </si>
  <si>
    <t xml:space="preserve">Captured value falls to 37% of central (€3,770/yr) — reachable on plausible assumptions; segment conceded in part</t>
  </si>
  <si>
    <t xml:space="preserve">Pilot term sheet (10-PILOT-SPEC.md) — 90 days · €900 · two pilots at once, each on its own stack</t>
  </si>
  <si>
    <t xml:space="preserve">Term</t>
  </si>
  <si>
    <t xml:space="preserve">Parties</t>
  </si>
  <si>
    <t xml:space="preserve">[Operator / factory entity] ("Processor") and [Pilot partner legal name and NIF] ("Controller")</t>
  </si>
  <si>
    <t xml:space="preserve">Effective date</t>
  </si>
  <si>
    <t xml:space="preserve">Date of signature, preceded by no data processing of any kind</t>
  </si>
  <si>
    <t xml:space="preserve">Duration</t>
  </si>
  <si>
    <t xml:space="preserve">90 calendar days from the pre-install baseline session, aligned to one calendar quarter</t>
  </si>
  <si>
    <t xml:space="preserve">Roles under GDPR / LOPDGDD</t>
  </si>
  <si>
    <t xml:space="preserve">Controller: pilot partner, for its own customer, employee and subcontractor data. Processor: factory, acting solely on documented instruction under art. 28 GDPR</t>
  </si>
  <si>
    <t xml:space="preserve">Governing data-protection instrument</t>
  </si>
  <si>
    <t xml:space="preserve">A signed processor agreement (art. 28 GDPR clauses per the Data Protection section above), executed before the pre-install baseline session</t>
  </si>
  <si>
    <t xml:space="preserve">Sub-processors</t>
  </si>
  <si>
    <t xml:space="preserve">Hetzner Online GmbH (Falkenstein/Nuremberg, DE, EU) — hosting; Cloudflare (EU region) — backups; the partner's own mailbox provider — conditional, draft-only, never a send</t>
  </si>
  <si>
    <t xml:space="preserve">Fee, during pilot</t>
  </si>
  <si>
    <t xml:space="preserve">€900, one-time, invoiced at signature, non-refundable on a no-convert exit</t>
  </si>
  <si>
    <t xml:space="preserve">Fee, on successful conversion</t>
  </si>
  <si>
    <t xml:space="preserve">Per-site pricing, €45/month floor (€300, discounted) to €675/month cap, for 12 months; full list (€400 floor–€900 cap per site-month) from month 13</t>
  </si>
  <si>
    <t xml:space="preserve">Success metrics</t>
  </si>
  <si>
    <t xml:space="preserve">Exactly three, one per operational failure in the partner's segment per 06-VALUE-CASE.md, each with a pre-install baseline captured by hand before onboarding begins</t>
  </si>
  <si>
    <t xml:space="preserve">Concurrency</t>
  </si>
  <si>
    <t xml:space="preserve">This pilot occupies one of at most two concurrent pilot slots factory-wide; the partner is told this in writing before signature</t>
  </si>
  <si>
    <t xml:space="preserve">Infrastructure</t>
  </si>
  <si>
    <t xml:space="preserve">One dedicated Hetzner stack, EU location, ~€9/month running cost, isolated from every other tenant, pilot or paying</t>
  </si>
  <si>
    <t xml:space="preserve">Data access granted to the factory</t>
  </si>
  <si>
    <t xml:space="preserve">Read/write access to the categories of data listed in Data Protection, for the pilot term only, no data leaving the dedicated stack and its EU backups</t>
  </si>
  <si>
    <t xml:space="preserve">Reference rights</t>
  </si>
  <si>
    <t xml:space="preserve">None granted by default; three-tier written consent obtained separately and after the fact, revocable at any time on a forward-only basis</t>
  </si>
  <si>
    <t xml:space="preserve">Kill criteria</t>
  </si>
  <si>
    <t xml:space="preserve">Six named conditions (security incident; smoke-test failure by day 24; no metric movement by day 75; sustained inability to meet time commitment; a hard-gate disqualifier surfacing; withdrawal of processing consent), each with a named decider and deadline, set out in full above</t>
  </si>
  <si>
    <t xml:space="preserve">Data retention on non-conversion</t>
  </si>
  <si>
    <t xml:space="preserve">Tenant offline within 7 days; export offered within 14 days; deletion confirmed within 30 days</t>
  </si>
  <si>
    <t xml:space="preserve">Breach notification</t>
  </si>
  <si>
    <t xml:space="preserve">Factory to partner within 24 hours of factory awareness; partner to AEPD within 72 hours of its own awareness where risk to individuals exists</t>
  </si>
  <si>
    <t xml:space="preserve">Signatures</t>
  </si>
  <si>
    <t xml:space="preserve">[Partner's Economic Buyer(s), per 08-GTM-PLAN.md §3 — both, where two owners split operations and administration] / [Operator]</t>
  </si>
  <si>
    <t xml:space="preserve">Activity log — every touch, in one place</t>
  </si>
  <si>
    <t xml:space="preserve">Dashboard counts touches from here. Row 4 is an example: overwrite it.</t>
  </si>
  <si>
    <t xml:space="preserve">Date</t>
  </si>
  <si>
    <t xml:space="preserve">Firm</t>
  </si>
  <si>
    <t xml:space="preserve">Type</t>
  </si>
  <si>
    <t xml:space="preserve">Outcome</t>
  </si>
  <si>
    <t xml:space="preserve">Next step</t>
  </si>
  <si>
    <t xml:space="preserve">Call</t>
  </si>
  <si>
    <t xml:space="preserve">EXAMPLE ROW — switchboard answered, asked for the person who does the quarterly close, call back Tuesday 10:00</t>
  </si>
  <si>
    <t xml:space="preserve">Call back Tuesday; then first-touch email in CA</t>
  </si>
  <si>
    <t xml:space="preserve">Sales</t>
  </si>
  <si>
    <t xml:space="preserve">Language</t>
  </si>
  <si>
    <t xml:space="preserve">Activity type</t>
  </si>
  <si>
    <t xml:space="preserve">Operator</t>
  </si>
  <si>
    <t xml:space="preserve">ES</t>
  </si>
  <si>
    <t xml:space="preserve">CA</t>
  </si>
  <si>
    <t xml:space="preserve">Engineering lead</t>
  </si>
  <si>
    <t xml:space="preserve">LinkedIn</t>
  </si>
  <si>
    <t xml:space="preserve">Meeting</t>
  </si>
  <si>
    <t xml:space="preserve">Demo</t>
  </si>
  <si>
    <t xml:space="preserve">Proposal</t>
  </si>
  <si>
    <t xml:space="preserve">Other</t>
  </si>
</sst>
</file>

<file path=xl/styles.xml><?xml version="1.0" encoding="utf-8"?>
<styleSheet xmlns="http://schemas.openxmlformats.org/spreadsheetml/2006/main">
  <numFmts count="6">
    <numFmt numFmtId="164" formatCode="General"/>
    <numFmt numFmtId="165" formatCode="General"/>
    <numFmt numFmtId="166" formatCode="\€#,##0"/>
    <numFmt numFmtId="167" formatCode="0.0"/>
    <numFmt numFmtId="168" formatCode="dd/mm/yyyy"/>
    <numFmt numFmtId="169" formatCode="0%"/>
  </numFmts>
  <fonts count="15">
    <font>
      <sz val="11"/>
      <color theme="1"/>
      <name val="Calibri"/>
      <family val="2"/>
      <charset val="1"/>
    </font>
    <font>
      <sz val="10"/>
      <name val="Arial"/>
      <family val="0"/>
    </font>
    <font>
      <sz val="10"/>
      <name val="Arial"/>
      <family val="0"/>
    </font>
    <font>
      <sz val="10"/>
      <name val="Arial"/>
      <family val="0"/>
    </font>
    <font>
      <b val="true"/>
      <sz val="16"/>
      <color rgb="FF2E4A27"/>
      <name val="Arial"/>
      <family val="0"/>
      <charset val="1"/>
    </font>
    <font>
      <i val="true"/>
      <sz val="9"/>
      <color rgb="FF6B6B6B"/>
      <name val="Arial"/>
      <family val="0"/>
      <charset val="1"/>
    </font>
    <font>
      <b val="true"/>
      <sz val="10"/>
      <name val="Arial"/>
      <family val="0"/>
      <charset val="1"/>
    </font>
    <font>
      <sz val="10"/>
      <name val="Arial"/>
      <family val="0"/>
      <charset val="1"/>
    </font>
    <font>
      <sz val="11"/>
      <color theme="1"/>
      <name val="Arial"/>
      <family val="0"/>
      <charset val="1"/>
    </font>
    <font>
      <sz val="10"/>
      <color rgb="FF0000FF"/>
      <name val="Arial"/>
      <family val="0"/>
      <charset val="1"/>
    </font>
    <font>
      <b val="true"/>
      <sz val="11"/>
      <color rgb="FF48733C"/>
      <name val="Arial"/>
      <family val="0"/>
      <charset val="1"/>
    </font>
    <font>
      <b val="true"/>
      <sz val="10"/>
      <color rgb="FFFFFFFF"/>
      <name val="Arial"/>
      <family val="0"/>
      <charset val="1"/>
    </font>
    <font>
      <b val="true"/>
      <sz val="18"/>
      <color rgb="FF000000"/>
      <name val="Calibri"/>
      <family val="2"/>
    </font>
    <font>
      <sz val="10"/>
      <color rgb="FF000000"/>
      <name val="Calibri"/>
      <family val="2"/>
    </font>
    <font>
      <sz val="10"/>
      <name val="Arial"/>
      <family val="2"/>
    </font>
  </fonts>
  <fills count="11">
    <fill>
      <patternFill patternType="none"/>
    </fill>
    <fill>
      <patternFill patternType="gray125"/>
    </fill>
    <fill>
      <patternFill patternType="solid">
        <fgColor rgb="FFFFF2CC"/>
        <bgColor rgb="FFFCE4D6"/>
      </patternFill>
    </fill>
    <fill>
      <patternFill patternType="solid">
        <fgColor rgb="FFC6E0B4"/>
        <bgColor rgb="FFD8D8D4"/>
      </patternFill>
    </fill>
    <fill>
      <patternFill patternType="solid">
        <fgColor rgb="FFE2EFDA"/>
        <bgColor rgb="FFE7E6E6"/>
      </patternFill>
    </fill>
    <fill>
      <patternFill patternType="solid">
        <fgColor rgb="FFFFE699"/>
        <bgColor rgb="FFFFF2CC"/>
      </patternFill>
    </fill>
    <fill>
      <patternFill patternType="solid">
        <fgColor rgb="FFE7E6E6"/>
        <bgColor rgb="FFE2EFDA"/>
      </patternFill>
    </fill>
    <fill>
      <patternFill patternType="solid">
        <fgColor rgb="FF2E4A27"/>
        <bgColor rgb="FF333300"/>
      </patternFill>
    </fill>
    <fill>
      <patternFill patternType="solid">
        <fgColor rgb="FF1F3864"/>
        <bgColor rgb="FF333399"/>
      </patternFill>
    </fill>
    <fill>
      <patternFill patternType="solid">
        <fgColor rgb="FF7F6000"/>
        <bgColor rgb="FF993300"/>
      </patternFill>
    </fill>
    <fill>
      <patternFill patternType="solid">
        <fgColor rgb="FFFCE4D6"/>
        <bgColor rgb="FFFFF2CC"/>
      </patternFill>
    </fill>
  </fills>
  <borders count="2">
    <border diagonalUp="false" diagonalDown="false">
      <left/>
      <right/>
      <top/>
      <bottom/>
      <diagonal/>
    </border>
    <border diagonalUp="false" diagonalDown="false">
      <left/>
      <right/>
      <top/>
      <bottom style="thin">
        <color rgb="FFD8D8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4" fontId="11" fillId="7" borderId="0" xfId="0" applyFont="true" applyBorder="true" applyAlignment="true" applyProtection="false">
      <alignment horizontal="general" vertical="center" textRotation="0" wrapText="true" indent="0" shrinkToFit="false"/>
      <protection locked="true" hidden="false"/>
    </xf>
    <xf numFmtId="164" fontId="11" fillId="7"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right" vertical="top" textRotation="0" wrapText="false" indent="0" shrinkToFit="false"/>
      <protection locked="true" hidden="false"/>
    </xf>
    <xf numFmtId="164" fontId="11" fillId="8" borderId="0" xfId="0" applyFont="true" applyBorder="false" applyAlignment="true" applyProtection="false">
      <alignment horizontal="general" vertical="center" textRotation="0" wrapText="true" indent="0" shrinkToFit="false"/>
      <protection locked="true" hidden="false"/>
    </xf>
    <xf numFmtId="164" fontId="11" fillId="9"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4" fontId="6" fillId="4"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8" fontId="5" fillId="2"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8" fontId="7"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2E4A27"/>
          <bgColor rgb="FF000000"/>
        </patternFill>
      </fill>
    </dxf>
    <dxf>
      <fill>
        <patternFill patternType="solid">
          <bgColor rgb="FF000000"/>
        </patternFill>
      </fill>
    </dxf>
    <dxf>
      <fill>
        <patternFill patternType="solid">
          <fgColor rgb="FF8C8C8C"/>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FFE699"/>
          <bgColor rgb="FF000000"/>
        </patternFill>
      </fill>
    </dxf>
    <dxf>
      <fill>
        <patternFill patternType="solid">
          <fgColor rgb="FF1F3864"/>
          <bgColor rgb="FF000000"/>
        </patternFill>
      </fill>
    </dxf>
    <dxf>
      <fill>
        <patternFill patternType="solid">
          <fgColor rgb="FFF8CBAD"/>
          <bgColor rgb="FF000000"/>
        </patternFill>
      </fill>
    </dxf>
    <dxf>
      <fill>
        <patternFill patternType="solid">
          <fgColor rgb="FF7F6000"/>
          <bgColor rgb="FF000000"/>
        </patternFill>
      </fill>
    </dxf>
    <dxf>
      <fill>
        <patternFill patternType="solid">
          <fgColor rgb="FFFFF2CC"/>
          <bgColor rgb="FF000000"/>
        </patternFill>
      </fill>
    </dxf>
    <dxf>
      <fill>
        <patternFill>
          <bgColor rgb="FFF8CBAD"/>
        </patternFill>
      </fill>
    </dxf>
    <dxf>
      <font>
        <name val="Arial"/>
        <charset val="1"/>
        <family val="0"/>
        <color rgb="FF8C8C8C"/>
        <sz val="10"/>
      </font>
    </dxf>
    <dxf>
      <fill>
        <patternFill>
          <bgColor rgb="FFC6E0B4"/>
        </patternFill>
      </fill>
    </dxf>
    <dxf>
      <fill>
        <patternFill>
          <bgColor rgb="FFA9D08E"/>
        </patternFill>
      </fill>
    </dxf>
    <dxf>
      <fill>
        <patternFill>
          <bgColor rgb="FFFFE699"/>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D8D8D4"/>
      <rgbColor rgb="FF878787"/>
      <rgbColor rgb="FF9999FF"/>
      <rgbColor rgb="FF993366"/>
      <rgbColor rgb="FFFFF2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6E6"/>
      <rgbColor rgb="FFE2EFDA"/>
      <rgbColor rgb="FFFFE699"/>
      <rgbColor rgb="FFC6E0B4"/>
      <rgbColor rgb="FFFCE4D6"/>
      <rgbColor rgb="FFCC99FF"/>
      <rgbColor rgb="FFF8CBAD"/>
      <rgbColor rgb="FF4F81BD"/>
      <rgbColor rgb="FF33CCCC"/>
      <rgbColor rgb="FFA9D08E"/>
      <rgbColor rgb="FFFFCC00"/>
      <rgbColor rgb="FFFF9900"/>
      <rgbColor rgb="FFFF6600"/>
      <rgbColor rgb="FF6B6B6B"/>
      <rgbColor rgb="FF8C8C8C"/>
      <rgbColor rgb="FF1F3864"/>
      <rgbColor rgb="FF48733C"/>
      <rgbColor rgb="FF003300"/>
      <rgbColor rgb="FF333300"/>
      <rgbColor rgb="FF993300"/>
      <rgbColor rgb="FF993366"/>
      <rgbColor rgb="FF333399"/>
      <rgbColor rgb="FF2E4A2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Firms by stage</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Dashboard!$D$5:$D$18</c:f>
              <c:strCache>
                <c:ptCount val="14"/>
                <c:pt idx="0">
                  <c:v>Not started</c:v>
                </c:pt>
                <c:pt idx="1">
                  <c:v>Research</c:v>
                </c:pt>
                <c:pt idx="2">
                  <c:v>Cold call</c:v>
                </c:pt>
                <c:pt idx="3">
                  <c:v>First-touch email</c:v>
                </c:pt>
                <c:pt idx="4">
                  <c:v>Follow-up 1</c:v>
                </c:pt>
                <c:pt idx="5">
                  <c:v>Follow-up 2</c:v>
                </c:pt>
                <c:pt idx="6">
                  <c:v>Meeting booked</c:v>
                </c:pt>
                <c:pt idx="7">
                  <c:v>Meeting held</c:v>
                </c:pt>
                <c:pt idx="8">
                  <c:v>Demo on their data</c:v>
                </c:pt>
                <c:pt idx="9">
                  <c:v>Pilot proposed</c:v>
                </c:pt>
                <c:pt idx="10">
                  <c:v>Pilot running</c:v>
                </c:pt>
                <c:pt idx="11">
                  <c:v>Customer</c:v>
                </c:pt>
                <c:pt idx="12">
                  <c:v>Lost</c:v>
                </c:pt>
                <c:pt idx="13">
                  <c:v>Not a fit</c:v>
                </c:pt>
              </c:strCache>
            </c:strRef>
          </c:cat>
          <c:val>
            <c:numRef>
              <c:f>Dashboard!$E$5:$E$18</c:f>
              <c:numCache>
                <c:formatCode>General</c:formatCode>
                <c:ptCount val="14"/>
                <c:pt idx="0">
                  <c:v>128</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er>
        <c:gapWidth val="150"/>
        <c:overlap val="0"/>
        <c:axId val="57801118"/>
        <c:axId val="65357921"/>
      </c:barChart>
      <c:catAx>
        <c:axId val="578011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357921"/>
        <c:crosses val="autoZero"/>
        <c:auto val="1"/>
        <c:lblAlgn val="ctr"/>
        <c:lblOffset val="100"/>
        <c:noMultiLvlLbl val="0"/>
      </c:catAx>
      <c:valAx>
        <c:axId val="6535792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80111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130680</xdr:rowOff>
    </xdr:from>
    <xdr:to>
      <xdr:col>3</xdr:col>
      <xdr:colOff>1492560</xdr:colOff>
      <xdr:row>41</xdr:row>
      <xdr:rowOff>131760</xdr:rowOff>
    </xdr:to>
    <xdr:graphicFrame>
      <xdr:nvGraphicFramePr>
        <xdr:cNvPr id="0" name="Chart 1"/>
        <xdr:cNvGraphicFramePr/>
      </xdr:nvGraphicFramePr>
      <xdr:xfrm>
        <a:off x="0" y="1130616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60" hidden="false" customHeight="true" outlineLevel="0" collapsed="false">
      <c r="A5" s="3" t="s">
        <v>4</v>
      </c>
      <c r="B5" s="4" t="s">
        <v>5</v>
      </c>
    </row>
    <row r="6" customFormat="false" ht="45" hidden="false" customHeight="true" outlineLevel="0" collapsed="false">
      <c r="A6" s="3" t="s">
        <v>6</v>
      </c>
      <c r="B6" s="4" t="s">
        <v>7</v>
      </c>
    </row>
    <row r="7" customFormat="false" ht="45" hidden="false" customHeight="true" outlineLevel="0" collapsed="false">
      <c r="A7" s="3" t="s">
        <v>8</v>
      </c>
      <c r="B7" s="4" t="s">
        <v>9</v>
      </c>
    </row>
    <row r="8" customFormat="false" ht="60" hidden="false" customHeight="true" outlineLevel="0" collapsed="false">
      <c r="A8" s="3" t="s">
        <v>10</v>
      </c>
      <c r="B8" s="4" t="s">
        <v>11</v>
      </c>
    </row>
    <row r="9" customFormat="false" ht="60" hidden="false" customHeight="true" outlineLevel="0" collapsed="false">
      <c r="A9" s="3" t="s">
        <v>12</v>
      </c>
      <c r="B9" s="4" t="s">
        <v>13</v>
      </c>
    </row>
    <row r="10" customFormat="false" ht="30" hidden="false" customHeight="true" outlineLevel="0" collapsed="false">
      <c r="A10" s="3" t="s">
        <v>14</v>
      </c>
      <c r="B10" s="4" t="s">
        <v>15</v>
      </c>
    </row>
    <row r="11" customFormat="false" ht="30" hidden="false" customHeight="true" outlineLevel="0" collapsed="false">
      <c r="A11" s="3" t="s">
        <v>16</v>
      </c>
      <c r="B11" s="4" t="s">
        <v>17</v>
      </c>
    </row>
    <row r="12" customFormat="false" ht="45" hidden="false" customHeight="true" outlineLevel="0" collapsed="false">
      <c r="A12" s="3" t="s">
        <v>18</v>
      </c>
      <c r="B12" s="4" t="s">
        <v>19</v>
      </c>
    </row>
    <row r="13" customFormat="false" ht="45" hidden="false" customHeight="true" outlineLevel="0" collapsed="false">
      <c r="A13" s="3" t="s">
        <v>20</v>
      </c>
      <c r="B13" s="4" t="s">
        <v>21</v>
      </c>
    </row>
    <row r="15" customFormat="false" ht="15" hidden="false" customHeight="false" outlineLevel="0" collapsed="false">
      <c r="A15" s="5" t="s">
        <v>22</v>
      </c>
      <c r="B15" s="6" t="s">
        <v>23</v>
      </c>
    </row>
    <row r="16" customFormat="false" ht="15" hidden="false" customHeight="false" outlineLevel="0" collapsed="false">
      <c r="B16" s="7" t="s">
        <v>24</v>
      </c>
    </row>
    <row r="17" customFormat="false" ht="15" hidden="false" customHeight="false" outlineLevel="0" collapsed="false">
      <c r="B17" s="8" t="s">
        <v>25</v>
      </c>
    </row>
    <row r="18" customFormat="false" ht="15" hidden="false" customHeight="false" outlineLevel="0" collapsed="false">
      <c r="B18" s="9" t="s">
        <v>26</v>
      </c>
    </row>
    <row r="19" customFormat="false" ht="15" hidden="false" customHeight="false" outlineLevel="0" collapsed="false">
      <c r="B19" s="10" t="s">
        <v>27</v>
      </c>
    </row>
    <row r="20" customFormat="false" ht="15" hidden="false" customHeight="false" outlineLevel="0" collapsed="false">
      <c r="B20" s="11" t="s">
        <v>28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4"/>
    <col collapsed="false" customWidth="true" hidden="false" outlineLevel="0" max="4" min="4" style="0" width="30"/>
    <col collapsed="false" customWidth="true" hidden="false" outlineLevel="0" max="5" min="5" style="0" width="14"/>
    <col collapsed="false" customWidth="true" hidden="false" outlineLevel="0" max="6" min="6" style="0" width="4"/>
    <col collapsed="false" customWidth="true" hidden="false" outlineLevel="0" max="7" min="7" style="0" width="34"/>
    <col collapsed="false" customWidth="true" hidden="false" outlineLevel="0" max="8" min="8" style="0" width="14"/>
  </cols>
  <sheetData>
    <row r="1" customFormat="false" ht="19.7" hidden="false" customHeight="false" outlineLevel="0" collapsed="false">
      <c r="A1" s="1" t="s">
        <v>29</v>
      </c>
    </row>
    <row r="2" customFormat="false" ht="15" hidden="false" customHeight="false" outlineLevel="0" collapsed="false">
      <c r="A2" s="2" t="s">
        <v>30</v>
      </c>
    </row>
    <row r="4" customFormat="false" ht="15" hidden="false" customHeight="false" outlineLevel="0" collapsed="false">
      <c r="A4" s="12" t="s">
        <v>31</v>
      </c>
      <c r="D4" s="12" t="s">
        <v>32</v>
      </c>
      <c r="G4" s="12" t="s">
        <v>33</v>
      </c>
    </row>
    <row r="5" customFormat="false" ht="15" hidden="false" customHeight="false" outlineLevel="0" collapsed="false">
      <c r="A5" s="13" t="s">
        <v>25</v>
      </c>
      <c r="B5" s="14" t="n">
        <f aca="false">COUNTIF(Pipeline!$B$2:$B$129,"A")</f>
        <v>7</v>
      </c>
      <c r="D5" s="13" t="s">
        <v>34</v>
      </c>
      <c r="E5" s="14" t="n">
        <f aca="false">COUNTIF(Pipeline!$AF$2:$AF$129,"Not started")</f>
        <v>128</v>
      </c>
      <c r="G5" s="13" t="s">
        <v>35</v>
      </c>
      <c r="H5" s="15" t="n">
        <f aca="false">SUMIFS(Pipeline!$AS$2:$AS$129,Pipeline!$C$2:$C$129,"Yes")</f>
        <v>187920</v>
      </c>
    </row>
    <row r="6" customFormat="false" ht="15" hidden="false" customHeight="false" outlineLevel="0" collapsed="false">
      <c r="A6" s="13" t="s">
        <v>26</v>
      </c>
      <c r="B6" s="14" t="n">
        <f aca="false">COUNTIF(Pipeline!$B$2:$B$129,"B")</f>
        <v>30</v>
      </c>
      <c r="D6" s="13" t="s">
        <v>36</v>
      </c>
      <c r="E6" s="14" t="n">
        <f aca="false">COUNTIF(Pipeline!$AF$2:$AF$129,"Research")</f>
        <v>0</v>
      </c>
      <c r="G6" s="13" t="s">
        <v>37</v>
      </c>
      <c r="H6" s="15" t="n">
        <f aca="false">SUM(Pipeline!$AT$2:$AT$129)</f>
        <v>0</v>
      </c>
    </row>
    <row r="7" customFormat="false" ht="15" hidden="false" customHeight="false" outlineLevel="0" collapsed="false">
      <c r="A7" s="13" t="s">
        <v>27</v>
      </c>
      <c r="B7" s="14" t="n">
        <f aca="false">COUNTIF(Pipeline!$B$2:$B$129,"C")</f>
        <v>13</v>
      </c>
      <c r="D7" s="13" t="s">
        <v>38</v>
      </c>
      <c r="E7" s="14" t="n">
        <f aca="false">COUNTIF(Pipeline!$AF$2:$AF$129,"Cold call")</f>
        <v>0</v>
      </c>
      <c r="G7" s="13" t="s">
        <v>39</v>
      </c>
      <c r="H7" s="14" t="n">
        <f aca="false">COUNTIF(Pipeline!$AF$2:$AF$129,"Customer")</f>
        <v>0</v>
      </c>
    </row>
    <row r="8" customFormat="false" ht="15" hidden="false" customHeight="false" outlineLevel="0" collapsed="false">
      <c r="A8" s="13" t="s">
        <v>28</v>
      </c>
      <c r="B8" s="14" t="n">
        <f aca="false">COUNTIF(Pipeline!$B$2:$B$129,"D")</f>
        <v>78</v>
      </c>
      <c r="D8" s="13" t="s">
        <v>40</v>
      </c>
      <c r="E8" s="14" t="n">
        <f aca="false">COUNTIF(Pipeline!$AF$2:$AF$129,"First-touch email")</f>
        <v>0</v>
      </c>
      <c r="G8" s="13" t="s">
        <v>41</v>
      </c>
      <c r="H8" s="15" t="n">
        <f aca="false">SUMIFS(Pipeline!$AS$2:$AS$129,Pipeline!$AF$2:$AF$129,"Customer")</f>
        <v>0</v>
      </c>
    </row>
    <row r="9" customFormat="false" ht="15" hidden="false" customHeight="false" outlineLevel="0" collapsed="false">
      <c r="A9" s="13" t="s">
        <v>42</v>
      </c>
      <c r="B9" s="14" t="n">
        <f aca="false">COUNTIF(Pipeline!$C$2:$C$129,"Yes")</f>
        <v>37</v>
      </c>
      <c r="D9" s="13" t="s">
        <v>43</v>
      </c>
      <c r="E9" s="14" t="n">
        <f aca="false">COUNTIF(Pipeline!$AF$2:$AF$129,"Follow-up 1")</f>
        <v>0</v>
      </c>
    </row>
    <row r="10" customFormat="false" ht="15" hidden="false" customHeight="false" outlineLevel="0" collapsed="false">
      <c r="A10" s="13" t="s">
        <v>44</v>
      </c>
      <c r="B10" s="14" t="n">
        <f aca="false">COUNTIFS(Pipeline!$C$2:$C$129,"Yes",Pipeline!$AD$2:$AD$129,0)</f>
        <v>20</v>
      </c>
      <c r="D10" s="13" t="s">
        <v>45</v>
      </c>
      <c r="E10" s="14" t="n">
        <f aca="false">COUNTIF(Pipeline!$AF$2:$AF$129,"Follow-up 2")</f>
        <v>0</v>
      </c>
      <c r="G10" s="12" t="s">
        <v>46</v>
      </c>
    </row>
    <row r="11" customFormat="false" ht="15" hidden="false" customHeight="false" outlineLevel="0" collapsed="false">
      <c r="A11" s="13" t="s">
        <v>47</v>
      </c>
      <c r="B11" s="14" t="n">
        <f aca="false">COUNTIFS(Pipeline!$C$2:$C$129,"Yes",Pipeline!$V$2:$V$129,"&lt;&gt;")</f>
        <v>16</v>
      </c>
      <c r="D11" s="13" t="s">
        <v>48</v>
      </c>
      <c r="E11" s="14" t="n">
        <f aca="false">COUNTIF(Pipeline!$AF$2:$AF$129,"Meeting booked")</f>
        <v>0</v>
      </c>
      <c r="G11" s="13" t="s">
        <v>49</v>
      </c>
      <c r="H11" s="14" t="n">
        <f aca="true">COUNTIFS('Activity Log'!$A$4:$A$600,"&gt;="&amp;(TODAY()-7),'Activity Log'!$A$4:$A$600,"&lt;="&amp;TODAY())</f>
        <v>0</v>
      </c>
    </row>
    <row r="12" customFormat="false" ht="15" hidden="false" customHeight="false" outlineLevel="0" collapsed="false">
      <c r="A12" s="13" t="s">
        <v>50</v>
      </c>
      <c r="B12" s="14" t="n">
        <f aca="false">COUNTIFS(Pipeline!$C$2:$C$129,"Yes",Pipeline!$W$2:$W$129,"&lt;&gt;")</f>
        <v>9</v>
      </c>
      <c r="D12" s="13" t="s">
        <v>51</v>
      </c>
      <c r="E12" s="14" t="n">
        <f aca="false">COUNTIF(Pipeline!$AF$2:$AF$129,"Meeting held")</f>
        <v>0</v>
      </c>
      <c r="G12" s="13" t="s">
        <v>52</v>
      </c>
      <c r="H12" s="14" t="n">
        <f aca="true">COUNTIFS('Activity Log'!$A$4:$A$600,"&gt;="&amp;(TODAY()-30),'Activity Log'!$A$4:$A$600,"&lt;="&amp;TODAY())</f>
        <v>1</v>
      </c>
    </row>
    <row r="13" customFormat="false" ht="15" hidden="false" customHeight="false" outlineLevel="0" collapsed="false">
      <c r="A13" s="13" t="s">
        <v>53</v>
      </c>
      <c r="B13" s="14" t="n">
        <f aca="false">COUNTIF(Pipeline!$AV$2:$AV$129,"OVERDUE")</f>
        <v>0</v>
      </c>
      <c r="D13" s="13" t="s">
        <v>54</v>
      </c>
      <c r="E13" s="14" t="n">
        <f aca="false">COUNTIF(Pipeline!$AF$2:$AF$129,"Demo on their data")</f>
        <v>0</v>
      </c>
      <c r="G13" s="13" t="s">
        <v>55</v>
      </c>
      <c r="H13" s="14" t="n">
        <f aca="false">COUNTIF('Activity Log'!$C$4:$C$600,"Call")</f>
        <v>1</v>
      </c>
    </row>
    <row r="14" customFormat="false" ht="15" hidden="false" customHeight="false" outlineLevel="0" collapsed="false">
      <c r="D14" s="13" t="s">
        <v>56</v>
      </c>
      <c r="E14" s="14" t="n">
        <f aca="false">COUNTIF(Pipeline!$AF$2:$AF$129,"Pilot proposed")</f>
        <v>0</v>
      </c>
      <c r="G14" s="13" t="s">
        <v>57</v>
      </c>
      <c r="H14" s="14" t="n">
        <f aca="false">COUNTIF('Activity Log'!$C$4:$C$600,"Email")</f>
        <v>0</v>
      </c>
    </row>
    <row r="15" customFormat="false" ht="15" hidden="false" customHeight="false" outlineLevel="0" collapsed="false">
      <c r="D15" s="13" t="s">
        <v>58</v>
      </c>
      <c r="E15" s="14" t="n">
        <f aca="false">COUNTIF(Pipeline!$AF$2:$AF$129,"Pilot running")</f>
        <v>0</v>
      </c>
      <c r="G15" s="13" t="s">
        <v>59</v>
      </c>
      <c r="H15" s="14" t="n">
        <f aca="false">COUNTIF('Activity Log'!$C$4:$C$600,"LinkedIn")</f>
        <v>0</v>
      </c>
    </row>
    <row r="16" customFormat="false" ht="15" hidden="false" customHeight="false" outlineLevel="0" collapsed="false">
      <c r="D16" s="13" t="s">
        <v>60</v>
      </c>
      <c r="E16" s="14" t="n">
        <f aca="false">COUNTIF(Pipeline!$AF$2:$AF$129,"Customer")</f>
        <v>0</v>
      </c>
      <c r="G16" s="13" t="s">
        <v>61</v>
      </c>
      <c r="H16" s="14" t="n">
        <f aca="false">COUNTIF('Activity Log'!$C$4:$C$600,"Meeting")</f>
        <v>0</v>
      </c>
    </row>
    <row r="17" customFormat="false" ht="15" hidden="false" customHeight="false" outlineLevel="0" collapsed="false">
      <c r="D17" s="13" t="s">
        <v>62</v>
      </c>
      <c r="E17" s="14" t="n">
        <f aca="false">COUNTIF(Pipeline!$AF$2:$AF$129,"Lost")</f>
        <v>0</v>
      </c>
      <c r="G17" s="13" t="s">
        <v>63</v>
      </c>
      <c r="H17" s="14" t="n">
        <f aca="false">COUNTIF('Activity Log'!$C$4:$C$600,"Demo")</f>
        <v>0</v>
      </c>
    </row>
    <row r="18" customFormat="false" ht="15" hidden="false" customHeight="false" outlineLevel="0" collapsed="false">
      <c r="D18" s="13" t="s">
        <v>64</v>
      </c>
      <c r="E18" s="14" t="n">
        <f aca="false">COUNTIF(Pipeline!$AF$2:$AF$129,"Not a fit")</f>
        <v>0</v>
      </c>
      <c r="G18" s="13" t="s">
        <v>65</v>
      </c>
      <c r="H18" s="14" t="n">
        <f aca="false">COUNTIF('Activity Log'!$C$4:$C$600,"Proposal")</f>
        <v>0</v>
      </c>
    </row>
    <row r="19" customFormat="false" ht="15" hidden="false" customHeight="false" outlineLevel="0" collapsed="false">
      <c r="G19" s="13" t="s">
        <v>66</v>
      </c>
      <c r="H19" s="14" t="n">
        <f aca="false">COUNTIF('Activity Log'!$C$4:$C$600,"Other")</f>
        <v>0</v>
      </c>
    </row>
    <row r="20" customFormat="false" ht="15" hidden="false" customHeight="false" outlineLevel="0" collapsed="false">
      <c r="A20" s="12" t="s">
        <v>67</v>
      </c>
    </row>
    <row r="21" customFormat="false" ht="30" hidden="false" customHeight="true" outlineLevel="0" collapsed="false">
      <c r="A21" s="16" t="s">
        <v>68</v>
      </c>
      <c r="B21" s="16"/>
      <c r="C21" s="16"/>
      <c r="D21" s="17" t="s">
        <v>69</v>
      </c>
      <c r="E21" s="17" t="s">
        <v>70</v>
      </c>
    </row>
    <row r="22" customFormat="false" ht="168.75" hidden="false" customHeight="true" outlineLevel="0" collapsed="false">
      <c r="A22" s="18" t="s">
        <v>71</v>
      </c>
      <c r="B22" s="18"/>
      <c r="C22" s="18"/>
      <c r="D22" s="19" t="s">
        <v>72</v>
      </c>
      <c r="E22" s="20" t="n">
        <f aca="false">COUNTIFS(Pipeline!$C$2:$C$129,"Yes",Pipeline!$AF$2:$AF$129,"&lt;&gt;Not started",Pipeline!$AF$2:$AF$129,"&lt;&gt;Research",Pipeline!$AF$2:$AF$129,"&lt;&gt;Cold call",Pipeline!$AF$2:$AF$129,"&lt;&gt;Lost",Pipeline!$AF$2:$AF$129,"&lt;&gt;Not a fit")</f>
        <v>0</v>
      </c>
    </row>
    <row r="23" customFormat="false" ht="168.75" hidden="false" customHeight="true" outlineLevel="0" collapsed="false">
      <c r="A23" s="18" t="s">
        <v>73</v>
      </c>
      <c r="B23" s="18"/>
      <c r="C23" s="18"/>
      <c r="D23" s="19" t="s">
        <v>74</v>
      </c>
      <c r="E23" s="20" t="n">
        <f aca="false">COUNTIF(Pipeline!$AF$2:$AF$129,"Pilot running")+COUNTIF(Pipeline!$AF$2:$AF$129,"Customer")</f>
        <v>0</v>
      </c>
    </row>
    <row r="24" customFormat="false" ht="207.75" hidden="false" customHeight="true" outlineLevel="0" collapsed="false">
      <c r="A24" s="18" t="s">
        <v>75</v>
      </c>
      <c r="B24" s="18"/>
      <c r="C24" s="18"/>
      <c r="D24" s="19" t="s">
        <v>76</v>
      </c>
      <c r="E24" s="20" t="n">
        <f aca="false">COUNTIF(Pipeline!$AF$2:$AF$129,"Demo on their data")+COUNTIF(Pipeline!$AF$2:$AF$129,"Pilot proposed")+COUNTIF(Pipeline!$AF$2:$AF$129,"Pilot running")+COUNTIF(Pipeline!$AF$2:$AF$129,"Customer")</f>
        <v>0</v>
      </c>
    </row>
  </sheetData>
  <mergeCells count="4">
    <mergeCell ref="A21:C21"/>
    <mergeCell ref="A22:C22"/>
    <mergeCell ref="A23:C23"/>
    <mergeCell ref="A24:C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6"/>
    <col collapsed="false" customWidth="true" hidden="false" outlineLevel="0" max="3" min="3" style="0" width="7"/>
    <col collapsed="false" customWidth="true" hidden="false" outlineLevel="0" max="4" min="4" style="0" width="9"/>
    <col collapsed="false" customWidth="true" hidden="false" outlineLevel="0" max="5" min="5" style="0" width="34"/>
    <col collapsed="false" customWidth="true" hidden="false" outlineLevel="0" max="6" min="6" style="0" width="22"/>
    <col collapsed="false" customWidth="true" hidden="false" outlineLevel="0" max="7" min="7" style="0" width="11"/>
    <col collapsed="false" customWidth="true" hidden="false" outlineLevel="0" max="8" min="8" style="0" width="7"/>
    <col collapsed="false" customWidth="true" hidden="false" outlineLevel="0" max="9" min="9" style="0" width="26"/>
    <col collapsed="false" customWidth="true" hidden="false" outlineLevel="0" max="10" min="10" style="0" width="9"/>
    <col collapsed="false" customWidth="true" hidden="false" outlineLevel="0" max="11" min="11" style="0" width="20"/>
    <col collapsed="false" customWidth="true" hidden="false" outlineLevel="0" max="12" min="12" style="0" width="10"/>
    <col collapsed="false" customWidth="true" hidden="false" outlineLevel="0" max="13" min="13" style="0" width="8"/>
    <col collapsed="false" customWidth="true" hidden="false" outlineLevel="0" max="14" min="14" style="0" width="10"/>
    <col collapsed="false" customWidth="true" hidden="false" outlineLevel="0" max="15" min="15" style="0" width="8"/>
    <col collapsed="false" customWidth="true" hidden="false" outlineLevel="0" max="17" min="16" style="0" width="30"/>
    <col collapsed="false" customWidth="true" hidden="false" outlineLevel="0" max="21" min="18" style="0" width="40"/>
    <col collapsed="false" customWidth="true" hidden="false" outlineLevel="0" max="22" min="22" style="0" width="14"/>
    <col collapsed="false" customWidth="true" hidden="false" outlineLevel="0" max="26" min="23" style="0" width="26"/>
    <col collapsed="false" customWidth="true" hidden="false" outlineLevel="0" max="27" min="27" style="0" width="22"/>
    <col collapsed="false" customWidth="true" hidden="false" outlineLevel="0" max="28" min="28" style="0" width="8"/>
    <col collapsed="false" customWidth="true" hidden="false" outlineLevel="0" max="29" min="29" style="0" width="40"/>
    <col collapsed="false" customWidth="true" hidden="false" outlineLevel="0" max="30" min="30" style="0" width="9"/>
    <col collapsed="false" customWidth="true" hidden="false" outlineLevel="0" max="31" min="31" style="0" width="12"/>
    <col collapsed="false" customWidth="true" hidden="false" outlineLevel="0" max="32" min="32" style="0" width="16"/>
    <col collapsed="false" customWidth="true" hidden="false" outlineLevel="0" max="33" min="33" style="0" width="11"/>
    <col collapsed="false" customWidth="true" hidden="false" outlineLevel="0" max="34" min="34" style="0" width="18"/>
    <col collapsed="false" customWidth="true" hidden="false" outlineLevel="0" max="35" min="35" style="0" width="14"/>
    <col collapsed="false" customWidth="true" hidden="false" outlineLevel="0" max="36" min="36" style="0" width="9"/>
    <col collapsed="false" customWidth="true" hidden="false" outlineLevel="0" max="37" min="37" style="0" width="22"/>
    <col collapsed="false" customWidth="true" hidden="false" outlineLevel="0" max="39" min="38" style="0" width="11"/>
    <col collapsed="false" customWidth="true" hidden="false" outlineLevel="0" max="40" min="40" style="0" width="40"/>
    <col collapsed="false" customWidth="true" hidden="false" outlineLevel="0" max="41" min="41" style="0" width="44"/>
    <col collapsed="false" customWidth="true" hidden="false" outlineLevel="0" max="42" min="42" style="0" width="22"/>
    <col collapsed="false" customWidth="true" hidden="false" outlineLevel="0" max="43" min="43" style="0" width="36"/>
    <col collapsed="false" customWidth="true" hidden="false" outlineLevel="0" max="44" min="44" style="0" width="9"/>
    <col collapsed="false" customWidth="true" hidden="false" outlineLevel="0" max="45" min="45" style="0" width="10"/>
    <col collapsed="false" customWidth="true" hidden="false" outlineLevel="0" max="46" min="46" style="0" width="11"/>
    <col collapsed="false" customWidth="true" hidden="false" outlineLevel="0" max="48" min="47" style="0" width="9"/>
    <col collapsed="false" customWidth="true" hidden="false" outlineLevel="0" max="49" min="49" style="0" width="8"/>
  </cols>
  <sheetData>
    <row r="1" customFormat="false" ht="30" hidden="false" customHeight="true" outlineLevel="0" collapsed="false">
      <c r="A1" s="17" t="s">
        <v>77</v>
      </c>
      <c r="B1" s="17" t="s">
        <v>78</v>
      </c>
      <c r="C1" s="21" t="s">
        <v>79</v>
      </c>
      <c r="D1" s="17" t="s">
        <v>80</v>
      </c>
      <c r="E1" s="17" t="s">
        <v>81</v>
      </c>
      <c r="F1" s="17" t="s">
        <v>82</v>
      </c>
      <c r="G1" s="17" t="s">
        <v>83</v>
      </c>
      <c r="H1" s="17" t="s">
        <v>84</v>
      </c>
      <c r="I1" s="17" t="s">
        <v>85</v>
      </c>
      <c r="J1" s="17" t="s">
        <v>86</v>
      </c>
      <c r="K1" s="17" t="s">
        <v>87</v>
      </c>
      <c r="L1" s="17" t="s">
        <v>88</v>
      </c>
      <c r="M1" s="17" t="s">
        <v>89</v>
      </c>
      <c r="N1" s="17" t="s">
        <v>90</v>
      </c>
      <c r="O1" s="17" t="s">
        <v>91</v>
      </c>
      <c r="P1" s="17" t="s">
        <v>92</v>
      </c>
      <c r="Q1" s="17" t="s">
        <v>93</v>
      </c>
      <c r="R1" s="17" t="s">
        <v>94</v>
      </c>
      <c r="S1" s="17" t="s">
        <v>95</v>
      </c>
      <c r="T1" s="17" t="s">
        <v>96</v>
      </c>
      <c r="U1" s="17" t="s">
        <v>97</v>
      </c>
      <c r="V1" s="17" t="s">
        <v>98</v>
      </c>
      <c r="W1" s="17" t="s">
        <v>99</v>
      </c>
      <c r="X1" s="17" t="s">
        <v>100</v>
      </c>
      <c r="Y1" s="17" t="s">
        <v>101</v>
      </c>
      <c r="Z1" s="17" t="s">
        <v>102</v>
      </c>
      <c r="AA1" s="17" t="s">
        <v>103</v>
      </c>
      <c r="AB1" s="17" t="s">
        <v>104</v>
      </c>
      <c r="AC1" s="17" t="s">
        <v>105</v>
      </c>
      <c r="AD1" s="21" t="s">
        <v>106</v>
      </c>
      <c r="AE1" s="22" t="s">
        <v>107</v>
      </c>
      <c r="AF1" s="22" t="s">
        <v>108</v>
      </c>
      <c r="AG1" s="22" t="s">
        <v>109</v>
      </c>
      <c r="AH1" s="22" t="s">
        <v>110</v>
      </c>
      <c r="AI1" s="22" t="s">
        <v>111</v>
      </c>
      <c r="AJ1" s="22" t="s">
        <v>112</v>
      </c>
      <c r="AK1" s="22" t="s">
        <v>113</v>
      </c>
      <c r="AL1" s="22" t="s">
        <v>114</v>
      </c>
      <c r="AM1" s="22" t="s">
        <v>115</v>
      </c>
      <c r="AN1" s="22" t="s">
        <v>116</v>
      </c>
      <c r="AO1" s="21" t="s">
        <v>117</v>
      </c>
      <c r="AP1" s="21" t="s">
        <v>118</v>
      </c>
      <c r="AQ1" s="21" t="s">
        <v>119</v>
      </c>
      <c r="AR1" s="21" t="s">
        <v>120</v>
      </c>
      <c r="AS1" s="21" t="s">
        <v>121</v>
      </c>
      <c r="AT1" s="21" t="s">
        <v>122</v>
      </c>
      <c r="AU1" s="21" t="s">
        <v>123</v>
      </c>
      <c r="AV1" s="21" t="s">
        <v>124</v>
      </c>
      <c r="AW1" s="21" t="s">
        <v>125</v>
      </c>
    </row>
    <row r="2" customFormat="false" ht="48" hidden="false" customHeight="true" outlineLevel="0" collapsed="false">
      <c r="A2" s="23" t="n">
        <v>1</v>
      </c>
      <c r="B2" s="24" t="s">
        <v>126</v>
      </c>
      <c r="C2" s="23" t="str">
        <f aca="false">IF(OR(B2="A",B2="B"),"Yes","No")</f>
        <v>Yes</v>
      </c>
      <c r="D2" s="23" t="s">
        <v>127</v>
      </c>
      <c r="E2" s="23" t="s">
        <v>128</v>
      </c>
      <c r="F2" s="23" t="s">
        <v>129</v>
      </c>
      <c r="G2" s="23" t="s">
        <v>130</v>
      </c>
      <c r="H2" s="23" t="s">
        <v>131</v>
      </c>
      <c r="I2" s="4" t="s">
        <v>132</v>
      </c>
      <c r="J2" s="23" t="s">
        <v>133</v>
      </c>
      <c r="K2" s="23" t="s">
        <v>134</v>
      </c>
      <c r="L2" s="23" t="s">
        <v>134</v>
      </c>
      <c r="M2" s="25" t="n">
        <v>63.6</v>
      </c>
      <c r="N2" s="23" t="s">
        <v>135</v>
      </c>
      <c r="O2" s="23" t="s">
        <v>136</v>
      </c>
      <c r="P2" s="4" t="s">
        <v>137</v>
      </c>
      <c r="Q2" s="4" t="s">
        <v>138</v>
      </c>
      <c r="R2" s="4" t="s">
        <v>139</v>
      </c>
      <c r="S2" s="4" t="s">
        <v>140</v>
      </c>
      <c r="T2" s="4" t="s">
        <v>141</v>
      </c>
      <c r="U2" s="4" t="s">
        <v>142</v>
      </c>
      <c r="V2" s="23" t="s">
        <v>143</v>
      </c>
      <c r="W2" s="23" t="s">
        <v>144</v>
      </c>
      <c r="X2" s="23" t="s">
        <v>145</v>
      </c>
      <c r="Y2" s="23"/>
      <c r="Z2" s="23"/>
      <c r="AA2" s="23"/>
      <c r="AB2" s="23"/>
      <c r="AC2" s="4" t="s">
        <v>146</v>
      </c>
      <c r="AD2" s="26" t="n">
        <f aca="false">COUNTA(V2:AA2)</f>
        <v>3</v>
      </c>
      <c r="AE2" s="27"/>
      <c r="AF2" s="27" t="s">
        <v>34</v>
      </c>
      <c r="AG2" s="28"/>
      <c r="AH2" s="27"/>
      <c r="AI2" s="27"/>
      <c r="AJ2" s="27"/>
      <c r="AK2" s="27"/>
      <c r="AL2" s="28"/>
      <c r="AM2" s="28"/>
      <c r="AN2" s="29"/>
      <c r="AO2" s="4" t="str">
        <f aca="false">IFERROR(INDEX(Playbook!$C$4:$C$17,MATCH($AF2,Playbook!$A$4:$A$17,0)),"")</f>
        <v>Read the row: tier, segment, trigger, reason we lose them. Check contact coverage; if 0, enrich before anything else.</v>
      </c>
      <c r="AP2" s="23" t="str">
        <f aca="false">IFERROR(INDEX(Playbook!$D$4:$D$17,MATCH($AF2,Playbook!$A$4:$A$17,0)),"")</f>
        <v>—</v>
      </c>
      <c r="AQ2" s="4" t="str">
        <f aca="false">IFERROR(INDEX(Playbook!$E$4:$E$17,MATCH($AF2,Playbook!$A$4:$A$17,0)),"")</f>
        <v>Row read and a contact channel exists</v>
      </c>
      <c r="AR2" s="30" t="n">
        <f aca="false">IFERROR(INDEX(Playbook!$G$4:$G$17,MATCH($AF2,Playbook!$A$4:$A$17,0)),0)</f>
        <v>0</v>
      </c>
      <c r="AS2" s="31" t="n">
        <f aca="false">IFERROR(INDEX('Pricing &amp; Pilot'!$D$4:$D$6,MATCH($D2,'Pricing &amp; Pilot'!$A$4:$A$6,0)),0)</f>
        <v>3600</v>
      </c>
      <c r="AT2" s="31" t="n">
        <f aca="false">AS2*AR2</f>
        <v>0</v>
      </c>
      <c r="AU2" s="23" t="str">
        <f aca="true">IF(AL2="","",TODAY()-AL2)</f>
        <v/>
      </c>
      <c r="AV2" s="23" t="str">
        <f aca="true">IF(AM2="","",IF(AND(AM2&lt;TODAY(),$AF2&lt;&gt;"Customer",$AF2&lt;&gt;"Lost",$AF2&lt;&gt;"Not a fit"),"OVERDUE",""))</f>
        <v/>
      </c>
      <c r="AW2" s="23" t="str">
        <f aca="false">IF(AV2="OVERDUE","RED",IF($AF2="Not started","—",IF($AF2="Customer","GREEN",IF(OR($AF2="Lost",$AF2="Not a fit"),"CLOSED","AMBER"))))</f>
        <v>—</v>
      </c>
    </row>
    <row r="3" customFormat="false" ht="48" hidden="false" customHeight="true" outlineLevel="0" collapsed="false">
      <c r="A3" s="23" t="n">
        <v>2</v>
      </c>
      <c r="B3" s="24" t="s">
        <v>126</v>
      </c>
      <c r="C3" s="23" t="str">
        <f aca="false">IF(OR(B3="A",B3="B"),"Yes","No")</f>
        <v>Yes</v>
      </c>
      <c r="D3" s="23" t="s">
        <v>147</v>
      </c>
      <c r="E3" s="23" t="s">
        <v>148</v>
      </c>
      <c r="F3" s="23" t="s">
        <v>149</v>
      </c>
      <c r="G3" s="23" t="s">
        <v>150</v>
      </c>
      <c r="H3" s="23" t="s">
        <v>151</v>
      </c>
      <c r="I3" s="4" t="s">
        <v>152</v>
      </c>
      <c r="J3" s="23" t="s">
        <v>133</v>
      </c>
      <c r="K3" s="23" t="s">
        <v>153</v>
      </c>
      <c r="L3" s="23" t="s">
        <v>134</v>
      </c>
      <c r="M3" s="25" t="n">
        <v>63.6</v>
      </c>
      <c r="N3" s="23" t="s">
        <v>135</v>
      </c>
      <c r="O3" s="23" t="s">
        <v>136</v>
      </c>
      <c r="P3" s="4" t="s">
        <v>154</v>
      </c>
      <c r="Q3" s="4" t="s">
        <v>155</v>
      </c>
      <c r="R3" s="4" t="s">
        <v>156</v>
      </c>
      <c r="S3" s="4" t="s">
        <v>157</v>
      </c>
      <c r="T3" s="4" t="s">
        <v>158</v>
      </c>
      <c r="U3" s="4" t="s">
        <v>159</v>
      </c>
      <c r="V3" s="23"/>
      <c r="W3" s="23"/>
      <c r="X3" s="23"/>
      <c r="Y3" s="23"/>
      <c r="Z3" s="23"/>
      <c r="AA3" s="23"/>
      <c r="AB3" s="23"/>
      <c r="AC3" s="4" t="s">
        <v>160</v>
      </c>
      <c r="AD3" s="26" t="n">
        <f aca="false">COUNTA(V3:AA3)</f>
        <v>0</v>
      </c>
      <c r="AE3" s="27"/>
      <c r="AF3" s="27" t="s">
        <v>34</v>
      </c>
      <c r="AG3" s="28"/>
      <c r="AH3" s="27"/>
      <c r="AI3" s="27"/>
      <c r="AJ3" s="27"/>
      <c r="AK3" s="27"/>
      <c r="AL3" s="28"/>
      <c r="AM3" s="28"/>
      <c r="AN3" s="29"/>
      <c r="AO3" s="4" t="str">
        <f aca="false">IFERROR(INDEX(Playbook!$C$4:$C$17,MATCH($AF3,Playbook!$A$4:$A$17,0)),"")</f>
        <v>Read the row: tier, segment, trigger, reason we lose them. Check contact coverage; if 0, enrich before anything else.</v>
      </c>
      <c r="AP3" s="23" t="str">
        <f aca="false">IFERROR(INDEX(Playbook!$D$4:$D$17,MATCH($AF3,Playbook!$A$4:$A$17,0)),"")</f>
        <v>—</v>
      </c>
      <c r="AQ3" s="4" t="str">
        <f aca="false">IFERROR(INDEX(Playbook!$E$4:$E$17,MATCH($AF3,Playbook!$A$4:$A$17,0)),"")</f>
        <v>Row read and a contact channel exists</v>
      </c>
      <c r="AR3" s="30" t="n">
        <f aca="false">IFERROR(INDEX(Playbook!$G$4:$G$17,MATCH($AF3,Playbook!$A$4:$A$17,0)),0)</f>
        <v>0</v>
      </c>
      <c r="AS3" s="31" t="n">
        <f aca="false">IFERROR(INDEX('Pricing &amp; Pilot'!$D$4:$D$6,MATCH($D3,'Pricing &amp; Pilot'!$A$4:$A$6,0)),0)</f>
        <v>6480</v>
      </c>
      <c r="AT3" s="31" t="n">
        <f aca="false">AS3*AR3</f>
        <v>0</v>
      </c>
      <c r="AU3" s="23" t="str">
        <f aca="true">IF(AL3="","",TODAY()-AL3)</f>
        <v/>
      </c>
      <c r="AV3" s="23" t="str">
        <f aca="true">IF(AM3="","",IF(AND(AM3&lt;TODAY(),$AF3&lt;&gt;"Customer",$AF3&lt;&gt;"Lost",$AF3&lt;&gt;"Not a fit"),"OVERDUE",""))</f>
        <v/>
      </c>
      <c r="AW3" s="23" t="str">
        <f aca="false">IF(AV3="OVERDUE","RED",IF($AF3="Not started","—",IF($AF3="Customer","GREEN",IF(OR($AF3="Lost",$AF3="Not a fit"),"CLOSED","AMBER"))))</f>
        <v>—</v>
      </c>
    </row>
    <row r="4" customFormat="false" ht="48" hidden="false" customHeight="true" outlineLevel="0" collapsed="false">
      <c r="A4" s="23" t="n">
        <v>3</v>
      </c>
      <c r="B4" s="24" t="s">
        <v>126</v>
      </c>
      <c r="C4" s="23" t="str">
        <f aca="false">IF(OR(B4="A",B4="B"),"Yes","No")</f>
        <v>Yes</v>
      </c>
      <c r="D4" s="23" t="s">
        <v>147</v>
      </c>
      <c r="E4" s="23" t="s">
        <v>161</v>
      </c>
      <c r="F4" s="23" t="s">
        <v>162</v>
      </c>
      <c r="G4" s="23" t="s">
        <v>163</v>
      </c>
      <c r="H4" s="23" t="s">
        <v>164</v>
      </c>
      <c r="I4" s="4" t="s">
        <v>165</v>
      </c>
      <c r="J4" s="23" t="s">
        <v>133</v>
      </c>
      <c r="K4" s="23" t="s">
        <v>153</v>
      </c>
      <c r="L4" s="23" t="s">
        <v>134</v>
      </c>
      <c r="M4" s="25" t="n">
        <v>63.6</v>
      </c>
      <c r="N4" s="23" t="s">
        <v>135</v>
      </c>
      <c r="O4" s="23" t="s">
        <v>136</v>
      </c>
      <c r="P4" s="4" t="s">
        <v>154</v>
      </c>
      <c r="Q4" s="4" t="s">
        <v>166</v>
      </c>
      <c r="R4" s="4" t="s">
        <v>167</v>
      </c>
      <c r="S4" s="4" t="s">
        <v>168</v>
      </c>
      <c r="T4" s="4" t="s">
        <v>169</v>
      </c>
      <c r="U4" s="4" t="s">
        <v>170</v>
      </c>
      <c r="V4" s="23" t="s">
        <v>171</v>
      </c>
      <c r="W4" s="23" t="s">
        <v>171</v>
      </c>
      <c r="X4" s="23"/>
      <c r="Y4" s="23"/>
      <c r="Z4" s="23"/>
      <c r="AA4" s="23"/>
      <c r="AB4" s="23"/>
      <c r="AC4" s="4" t="s">
        <v>172</v>
      </c>
      <c r="AD4" s="26" t="n">
        <f aca="false">COUNTA(V4:AA4)</f>
        <v>2</v>
      </c>
      <c r="AE4" s="27"/>
      <c r="AF4" s="27" t="s">
        <v>34</v>
      </c>
      <c r="AG4" s="28"/>
      <c r="AH4" s="27"/>
      <c r="AI4" s="27"/>
      <c r="AJ4" s="27"/>
      <c r="AK4" s="27"/>
      <c r="AL4" s="28"/>
      <c r="AM4" s="28"/>
      <c r="AN4" s="29"/>
      <c r="AO4" s="4" t="str">
        <f aca="false">IFERROR(INDEX(Playbook!$C$4:$C$17,MATCH($AF4,Playbook!$A$4:$A$17,0)),"")</f>
        <v>Read the row: tier, segment, trigger, reason we lose them. Check contact coverage; if 0, enrich before anything else.</v>
      </c>
      <c r="AP4" s="23" t="str">
        <f aca="false">IFERROR(INDEX(Playbook!$D$4:$D$17,MATCH($AF4,Playbook!$A$4:$A$17,0)),"")</f>
        <v>—</v>
      </c>
      <c r="AQ4" s="4" t="str">
        <f aca="false">IFERROR(INDEX(Playbook!$E$4:$E$17,MATCH($AF4,Playbook!$A$4:$A$17,0)),"")</f>
        <v>Row read and a contact channel exists</v>
      </c>
      <c r="AR4" s="30" t="n">
        <f aca="false">IFERROR(INDEX(Playbook!$G$4:$G$17,MATCH($AF4,Playbook!$A$4:$A$17,0)),0)</f>
        <v>0</v>
      </c>
      <c r="AS4" s="31" t="n">
        <f aca="false">IFERROR(INDEX('Pricing &amp; Pilot'!$D$4:$D$6,MATCH($D4,'Pricing &amp; Pilot'!$A$4:$A$6,0)),0)</f>
        <v>6480</v>
      </c>
      <c r="AT4" s="31" t="n">
        <f aca="false">AS4*AR4</f>
        <v>0</v>
      </c>
      <c r="AU4" s="23" t="str">
        <f aca="true">IF(AL4="","",TODAY()-AL4)</f>
        <v/>
      </c>
      <c r="AV4" s="23" t="str">
        <f aca="true">IF(AM4="","",IF(AND(AM4&lt;TODAY(),$AF4&lt;&gt;"Customer",$AF4&lt;&gt;"Lost",$AF4&lt;&gt;"Not a fit"),"OVERDUE",""))</f>
        <v/>
      </c>
      <c r="AW4" s="23" t="str">
        <f aca="false">IF(AV4="OVERDUE","RED",IF($AF4="Not started","—",IF($AF4="Customer","GREEN",IF(OR($AF4="Lost",$AF4="Not a fit"),"CLOSED","AMBER"))))</f>
        <v>—</v>
      </c>
    </row>
    <row r="5" customFormat="false" ht="48" hidden="false" customHeight="true" outlineLevel="0" collapsed="false">
      <c r="A5" s="23" t="n">
        <v>4</v>
      </c>
      <c r="B5" s="24" t="s">
        <v>126</v>
      </c>
      <c r="C5" s="23" t="str">
        <f aca="false">IF(OR(B5="A",B5="B"),"Yes","No")</f>
        <v>Yes</v>
      </c>
      <c r="D5" s="23" t="s">
        <v>127</v>
      </c>
      <c r="E5" s="23" t="s">
        <v>173</v>
      </c>
      <c r="F5" s="23" t="s">
        <v>174</v>
      </c>
      <c r="G5" s="23" t="s">
        <v>175</v>
      </c>
      <c r="H5" s="23" t="s">
        <v>131</v>
      </c>
      <c r="I5" s="4" t="s">
        <v>132</v>
      </c>
      <c r="J5" s="23" t="s">
        <v>133</v>
      </c>
      <c r="K5" s="23" t="s">
        <v>176</v>
      </c>
      <c r="L5" s="23" t="s">
        <v>134</v>
      </c>
      <c r="M5" s="25" t="n">
        <v>63.6</v>
      </c>
      <c r="N5" s="23" t="s">
        <v>135</v>
      </c>
      <c r="O5" s="23" t="s">
        <v>136</v>
      </c>
      <c r="P5" s="4" t="s">
        <v>137</v>
      </c>
      <c r="Q5" s="4" t="s">
        <v>155</v>
      </c>
      <c r="R5" s="4" t="s">
        <v>139</v>
      </c>
      <c r="S5" s="4" t="s">
        <v>177</v>
      </c>
      <c r="T5" s="4" t="s">
        <v>178</v>
      </c>
      <c r="U5" s="4" t="s">
        <v>179</v>
      </c>
      <c r="V5" s="23" t="s">
        <v>180</v>
      </c>
      <c r="W5" s="23" t="s">
        <v>181</v>
      </c>
      <c r="X5" s="23" t="s">
        <v>182</v>
      </c>
      <c r="Y5" s="23" t="s">
        <v>183</v>
      </c>
      <c r="Z5" s="23"/>
      <c r="AA5" s="23"/>
      <c r="AB5" s="23"/>
      <c r="AC5" s="4" t="s">
        <v>184</v>
      </c>
      <c r="AD5" s="26" t="n">
        <f aca="false">COUNTA(V5:AA5)</f>
        <v>4</v>
      </c>
      <c r="AE5" s="27"/>
      <c r="AF5" s="27" t="s">
        <v>34</v>
      </c>
      <c r="AG5" s="28"/>
      <c r="AH5" s="27"/>
      <c r="AI5" s="27"/>
      <c r="AJ5" s="27"/>
      <c r="AK5" s="27"/>
      <c r="AL5" s="28"/>
      <c r="AM5" s="28"/>
      <c r="AN5" s="29"/>
      <c r="AO5" s="4" t="str">
        <f aca="false">IFERROR(INDEX(Playbook!$C$4:$C$17,MATCH($AF5,Playbook!$A$4:$A$17,0)),"")</f>
        <v>Read the row: tier, segment, trigger, reason we lose them. Check contact coverage; if 0, enrich before anything else.</v>
      </c>
      <c r="AP5" s="23" t="str">
        <f aca="false">IFERROR(INDEX(Playbook!$D$4:$D$17,MATCH($AF5,Playbook!$A$4:$A$17,0)),"")</f>
        <v>—</v>
      </c>
      <c r="AQ5" s="4" t="str">
        <f aca="false">IFERROR(INDEX(Playbook!$E$4:$E$17,MATCH($AF5,Playbook!$A$4:$A$17,0)),"")</f>
        <v>Row read and a contact channel exists</v>
      </c>
      <c r="AR5" s="30" t="n">
        <f aca="false">IFERROR(INDEX(Playbook!$G$4:$G$17,MATCH($AF5,Playbook!$A$4:$A$17,0)),0)</f>
        <v>0</v>
      </c>
      <c r="AS5" s="31" t="n">
        <f aca="false">IFERROR(INDEX('Pricing &amp; Pilot'!$D$4:$D$6,MATCH($D5,'Pricing &amp; Pilot'!$A$4:$A$6,0)),0)</f>
        <v>3600</v>
      </c>
      <c r="AT5" s="31" t="n">
        <f aca="false">AS5*AR5</f>
        <v>0</v>
      </c>
      <c r="AU5" s="23" t="str">
        <f aca="true">IF(AL5="","",TODAY()-AL5)</f>
        <v/>
      </c>
      <c r="AV5" s="23" t="str">
        <f aca="true">IF(AM5="","",IF(AND(AM5&lt;TODAY(),$AF5&lt;&gt;"Customer",$AF5&lt;&gt;"Lost",$AF5&lt;&gt;"Not a fit"),"OVERDUE",""))</f>
        <v/>
      </c>
      <c r="AW5" s="23" t="str">
        <f aca="false">IF(AV5="OVERDUE","RED",IF($AF5="Not started","—",IF($AF5="Customer","GREEN",IF(OR($AF5="Lost",$AF5="Not a fit"),"CLOSED","AMBER"))))</f>
        <v>—</v>
      </c>
    </row>
    <row r="6" customFormat="false" ht="48" hidden="false" customHeight="true" outlineLevel="0" collapsed="false">
      <c r="A6" s="23" t="n">
        <v>5</v>
      </c>
      <c r="B6" s="24" t="s">
        <v>126</v>
      </c>
      <c r="C6" s="23" t="str">
        <f aca="false">IF(OR(B6="A",B6="B"),"Yes","No")</f>
        <v>Yes</v>
      </c>
      <c r="D6" s="23" t="s">
        <v>127</v>
      </c>
      <c r="E6" s="23" t="s">
        <v>185</v>
      </c>
      <c r="F6" s="23" t="s">
        <v>186</v>
      </c>
      <c r="G6" s="23" t="s">
        <v>187</v>
      </c>
      <c r="H6" s="23" t="s">
        <v>131</v>
      </c>
      <c r="I6" s="4" t="s">
        <v>132</v>
      </c>
      <c r="J6" s="23" t="s">
        <v>133</v>
      </c>
      <c r="K6" s="23" t="s">
        <v>188</v>
      </c>
      <c r="L6" s="23" t="s">
        <v>134</v>
      </c>
      <c r="M6" s="25" t="n">
        <v>63.6</v>
      </c>
      <c r="N6" s="23" t="s">
        <v>135</v>
      </c>
      <c r="O6" s="23" t="s">
        <v>136</v>
      </c>
      <c r="P6" s="4" t="s">
        <v>137</v>
      </c>
      <c r="Q6" s="4" t="s">
        <v>155</v>
      </c>
      <c r="R6" s="4" t="s">
        <v>139</v>
      </c>
      <c r="S6" s="4" t="s">
        <v>189</v>
      </c>
      <c r="T6" s="4" t="s">
        <v>190</v>
      </c>
      <c r="U6" s="4" t="s">
        <v>191</v>
      </c>
      <c r="V6" s="23" t="s">
        <v>192</v>
      </c>
      <c r="W6" s="23" t="s">
        <v>193</v>
      </c>
      <c r="X6" s="23" t="s">
        <v>194</v>
      </c>
      <c r="Y6" s="23" t="s">
        <v>195</v>
      </c>
      <c r="Z6" s="23"/>
      <c r="AA6" s="23"/>
      <c r="AB6" s="23"/>
      <c r="AC6" s="4" t="s">
        <v>196</v>
      </c>
      <c r="AD6" s="26" t="n">
        <f aca="false">COUNTA(V6:AA6)</f>
        <v>4</v>
      </c>
      <c r="AE6" s="27"/>
      <c r="AF6" s="27" t="s">
        <v>34</v>
      </c>
      <c r="AG6" s="28"/>
      <c r="AH6" s="27"/>
      <c r="AI6" s="27"/>
      <c r="AJ6" s="27"/>
      <c r="AK6" s="27"/>
      <c r="AL6" s="28"/>
      <c r="AM6" s="28"/>
      <c r="AN6" s="29"/>
      <c r="AO6" s="4" t="str">
        <f aca="false">IFERROR(INDEX(Playbook!$C$4:$C$17,MATCH($AF6,Playbook!$A$4:$A$17,0)),"")</f>
        <v>Read the row: tier, segment, trigger, reason we lose them. Check contact coverage; if 0, enrich before anything else.</v>
      </c>
      <c r="AP6" s="23" t="str">
        <f aca="false">IFERROR(INDEX(Playbook!$D$4:$D$17,MATCH($AF6,Playbook!$A$4:$A$17,0)),"")</f>
        <v>—</v>
      </c>
      <c r="AQ6" s="4" t="str">
        <f aca="false">IFERROR(INDEX(Playbook!$E$4:$E$17,MATCH($AF6,Playbook!$A$4:$A$17,0)),"")</f>
        <v>Row read and a contact channel exists</v>
      </c>
      <c r="AR6" s="30" t="n">
        <f aca="false">IFERROR(INDEX(Playbook!$G$4:$G$17,MATCH($AF6,Playbook!$A$4:$A$17,0)),0)</f>
        <v>0</v>
      </c>
      <c r="AS6" s="31" t="n">
        <f aca="false">IFERROR(INDEX('Pricing &amp; Pilot'!$D$4:$D$6,MATCH($D6,'Pricing &amp; Pilot'!$A$4:$A$6,0)),0)</f>
        <v>3600</v>
      </c>
      <c r="AT6" s="31" t="n">
        <f aca="false">AS6*AR6</f>
        <v>0</v>
      </c>
      <c r="AU6" s="23" t="str">
        <f aca="true">IF(AL6="","",TODAY()-AL6)</f>
        <v/>
      </c>
      <c r="AV6" s="23" t="str">
        <f aca="true">IF(AM6="","",IF(AND(AM6&lt;TODAY(),$AF6&lt;&gt;"Customer",$AF6&lt;&gt;"Lost",$AF6&lt;&gt;"Not a fit"),"OVERDUE",""))</f>
        <v/>
      </c>
      <c r="AW6" s="23" t="str">
        <f aca="false">IF(AV6="OVERDUE","RED",IF($AF6="Not started","—",IF($AF6="Customer","GREEN",IF(OR($AF6="Lost",$AF6="Not a fit"),"CLOSED","AMBER"))))</f>
        <v>—</v>
      </c>
    </row>
    <row r="7" customFormat="false" ht="48" hidden="false" customHeight="true" outlineLevel="0" collapsed="false">
      <c r="A7" s="23" t="n">
        <v>6</v>
      </c>
      <c r="B7" s="24" t="s">
        <v>126</v>
      </c>
      <c r="C7" s="23" t="str">
        <f aca="false">IF(OR(B7="A",B7="B"),"Yes","No")</f>
        <v>Yes</v>
      </c>
      <c r="D7" s="23" t="s">
        <v>147</v>
      </c>
      <c r="E7" s="23" t="s">
        <v>197</v>
      </c>
      <c r="F7" s="23" t="s">
        <v>198</v>
      </c>
      <c r="G7" s="23" t="s">
        <v>199</v>
      </c>
      <c r="H7" s="23" t="s">
        <v>151</v>
      </c>
      <c r="I7" s="4" t="s">
        <v>152</v>
      </c>
      <c r="J7" s="23" t="s">
        <v>133</v>
      </c>
      <c r="K7" s="23" t="s">
        <v>200</v>
      </c>
      <c r="L7" s="23" t="s">
        <v>134</v>
      </c>
      <c r="M7" s="25" t="n">
        <v>63.6</v>
      </c>
      <c r="N7" s="23" t="s">
        <v>135</v>
      </c>
      <c r="O7" s="23" t="s">
        <v>136</v>
      </c>
      <c r="P7" s="4" t="s">
        <v>154</v>
      </c>
      <c r="Q7" s="4" t="s">
        <v>155</v>
      </c>
      <c r="R7" s="4" t="s">
        <v>156</v>
      </c>
      <c r="S7" s="4" t="s">
        <v>201</v>
      </c>
      <c r="T7" s="4" t="s">
        <v>202</v>
      </c>
      <c r="U7" s="4" t="s">
        <v>203</v>
      </c>
      <c r="V7" s="23" t="s">
        <v>204</v>
      </c>
      <c r="W7" s="23"/>
      <c r="X7" s="23"/>
      <c r="Y7" s="23"/>
      <c r="Z7" s="23"/>
      <c r="AA7" s="23"/>
      <c r="AB7" s="23"/>
      <c r="AC7" s="4" t="s">
        <v>205</v>
      </c>
      <c r="AD7" s="26" t="n">
        <f aca="false">COUNTA(V7:AA7)</f>
        <v>1</v>
      </c>
      <c r="AE7" s="27"/>
      <c r="AF7" s="27" t="s">
        <v>34</v>
      </c>
      <c r="AG7" s="28"/>
      <c r="AH7" s="27"/>
      <c r="AI7" s="27"/>
      <c r="AJ7" s="27"/>
      <c r="AK7" s="27"/>
      <c r="AL7" s="28"/>
      <c r="AM7" s="28"/>
      <c r="AN7" s="29"/>
      <c r="AO7" s="4" t="str">
        <f aca="false">IFERROR(INDEX(Playbook!$C$4:$C$17,MATCH($AF7,Playbook!$A$4:$A$17,0)),"")</f>
        <v>Read the row: tier, segment, trigger, reason we lose them. Check contact coverage; if 0, enrich before anything else.</v>
      </c>
      <c r="AP7" s="23" t="str">
        <f aca="false">IFERROR(INDEX(Playbook!$D$4:$D$17,MATCH($AF7,Playbook!$A$4:$A$17,0)),"")</f>
        <v>—</v>
      </c>
      <c r="AQ7" s="4" t="str">
        <f aca="false">IFERROR(INDEX(Playbook!$E$4:$E$17,MATCH($AF7,Playbook!$A$4:$A$17,0)),"")</f>
        <v>Row read and a contact channel exists</v>
      </c>
      <c r="AR7" s="30" t="n">
        <f aca="false">IFERROR(INDEX(Playbook!$G$4:$G$17,MATCH($AF7,Playbook!$A$4:$A$17,0)),0)</f>
        <v>0</v>
      </c>
      <c r="AS7" s="31" t="n">
        <f aca="false">IFERROR(INDEX('Pricing &amp; Pilot'!$D$4:$D$6,MATCH($D7,'Pricing &amp; Pilot'!$A$4:$A$6,0)),0)</f>
        <v>6480</v>
      </c>
      <c r="AT7" s="31" t="n">
        <f aca="false">AS7*AR7</f>
        <v>0</v>
      </c>
      <c r="AU7" s="23" t="str">
        <f aca="true">IF(AL7="","",TODAY()-AL7)</f>
        <v/>
      </c>
      <c r="AV7" s="23" t="str">
        <f aca="true">IF(AM7="","",IF(AND(AM7&lt;TODAY(),$AF7&lt;&gt;"Customer",$AF7&lt;&gt;"Lost",$AF7&lt;&gt;"Not a fit"),"OVERDUE",""))</f>
        <v/>
      </c>
      <c r="AW7" s="23" t="str">
        <f aca="false">IF(AV7="OVERDUE","RED",IF($AF7="Not started","—",IF($AF7="Customer","GREEN",IF(OR($AF7="Lost",$AF7="Not a fit"),"CLOSED","AMBER"))))</f>
        <v>—</v>
      </c>
    </row>
    <row r="8" customFormat="false" ht="48" hidden="false" customHeight="true" outlineLevel="0" collapsed="false">
      <c r="A8" s="23" t="n">
        <v>7</v>
      </c>
      <c r="B8" s="24" t="s">
        <v>126</v>
      </c>
      <c r="C8" s="23" t="str">
        <f aca="false">IF(OR(B8="A",B8="B"),"Yes","No")</f>
        <v>Yes</v>
      </c>
      <c r="D8" s="23" t="s">
        <v>127</v>
      </c>
      <c r="E8" s="23" t="s">
        <v>206</v>
      </c>
      <c r="F8" s="23" t="s">
        <v>207</v>
      </c>
      <c r="G8" s="23" t="s">
        <v>208</v>
      </c>
      <c r="H8" s="23" t="s">
        <v>131</v>
      </c>
      <c r="I8" s="4" t="s">
        <v>132</v>
      </c>
      <c r="J8" s="23" t="s">
        <v>133</v>
      </c>
      <c r="K8" s="23" t="s">
        <v>209</v>
      </c>
      <c r="L8" s="23" t="s">
        <v>134</v>
      </c>
      <c r="M8" s="25" t="n">
        <v>63.6</v>
      </c>
      <c r="N8" s="23" t="s">
        <v>135</v>
      </c>
      <c r="O8" s="23" t="s">
        <v>136</v>
      </c>
      <c r="P8" s="4" t="s">
        <v>137</v>
      </c>
      <c r="Q8" s="4" t="s">
        <v>155</v>
      </c>
      <c r="R8" s="4" t="s">
        <v>139</v>
      </c>
      <c r="S8" s="4" t="s">
        <v>210</v>
      </c>
      <c r="T8" s="4" t="s">
        <v>211</v>
      </c>
      <c r="U8" s="4" t="s">
        <v>212</v>
      </c>
      <c r="V8" s="23"/>
      <c r="W8" s="23"/>
      <c r="X8" s="23" t="s">
        <v>213</v>
      </c>
      <c r="Y8" s="23"/>
      <c r="Z8" s="23"/>
      <c r="AA8" s="23"/>
      <c r="AB8" s="23"/>
      <c r="AC8" s="4" t="s">
        <v>214</v>
      </c>
      <c r="AD8" s="26" t="n">
        <f aca="false">COUNTA(V8:AA8)</f>
        <v>1</v>
      </c>
      <c r="AE8" s="27"/>
      <c r="AF8" s="27" t="s">
        <v>34</v>
      </c>
      <c r="AG8" s="28"/>
      <c r="AH8" s="27"/>
      <c r="AI8" s="27"/>
      <c r="AJ8" s="27"/>
      <c r="AK8" s="27"/>
      <c r="AL8" s="28"/>
      <c r="AM8" s="28"/>
      <c r="AN8" s="29"/>
      <c r="AO8" s="4" t="str">
        <f aca="false">IFERROR(INDEX(Playbook!$C$4:$C$17,MATCH($AF8,Playbook!$A$4:$A$17,0)),"")</f>
        <v>Read the row: tier, segment, trigger, reason we lose them. Check contact coverage; if 0, enrich before anything else.</v>
      </c>
      <c r="AP8" s="23" t="str">
        <f aca="false">IFERROR(INDEX(Playbook!$D$4:$D$17,MATCH($AF8,Playbook!$A$4:$A$17,0)),"")</f>
        <v>—</v>
      </c>
      <c r="AQ8" s="4" t="str">
        <f aca="false">IFERROR(INDEX(Playbook!$E$4:$E$17,MATCH($AF8,Playbook!$A$4:$A$17,0)),"")</f>
        <v>Row read and a contact channel exists</v>
      </c>
      <c r="AR8" s="30" t="n">
        <f aca="false">IFERROR(INDEX(Playbook!$G$4:$G$17,MATCH($AF8,Playbook!$A$4:$A$17,0)),0)</f>
        <v>0</v>
      </c>
      <c r="AS8" s="31" t="n">
        <f aca="false">IFERROR(INDEX('Pricing &amp; Pilot'!$D$4:$D$6,MATCH($D8,'Pricing &amp; Pilot'!$A$4:$A$6,0)),0)</f>
        <v>3600</v>
      </c>
      <c r="AT8" s="31" t="n">
        <f aca="false">AS8*AR8</f>
        <v>0</v>
      </c>
      <c r="AU8" s="23" t="str">
        <f aca="true">IF(AL8="","",TODAY()-AL8)</f>
        <v/>
      </c>
      <c r="AV8" s="23" t="str">
        <f aca="true">IF(AM8="","",IF(AND(AM8&lt;TODAY(),$AF8&lt;&gt;"Customer",$AF8&lt;&gt;"Lost",$AF8&lt;&gt;"Not a fit"),"OVERDUE",""))</f>
        <v/>
      </c>
      <c r="AW8" s="23" t="str">
        <f aca="false">IF(AV8="OVERDUE","RED",IF($AF8="Not started","—",IF($AF8="Customer","GREEN",IF(OR($AF8="Lost",$AF8="Not a fit"),"CLOSED","AMBER"))))</f>
        <v>—</v>
      </c>
    </row>
    <row r="9" customFormat="false" ht="48" hidden="false" customHeight="true" outlineLevel="0" collapsed="false">
      <c r="A9" s="23" t="n">
        <v>8</v>
      </c>
      <c r="B9" s="32" t="s">
        <v>215</v>
      </c>
      <c r="C9" s="23" t="str">
        <f aca="false">IF(OR(B9="A",B9="B"),"Yes","No")</f>
        <v>Yes</v>
      </c>
      <c r="D9" s="23" t="s">
        <v>127</v>
      </c>
      <c r="E9" s="23" t="s">
        <v>216</v>
      </c>
      <c r="F9" s="23" t="s">
        <v>217</v>
      </c>
      <c r="G9" s="23"/>
      <c r="H9" s="23" t="s">
        <v>218</v>
      </c>
      <c r="I9" s="4" t="s">
        <v>219</v>
      </c>
      <c r="J9" s="23" t="s">
        <v>133</v>
      </c>
      <c r="K9" s="23" t="s">
        <v>220</v>
      </c>
      <c r="L9" s="23" t="s">
        <v>134</v>
      </c>
      <c r="M9" s="25" t="n">
        <v>63.6</v>
      </c>
      <c r="N9" s="23" t="s">
        <v>135</v>
      </c>
      <c r="O9" s="23" t="s">
        <v>136</v>
      </c>
      <c r="P9" s="4" t="s">
        <v>137</v>
      </c>
      <c r="Q9" s="4" t="s">
        <v>155</v>
      </c>
      <c r="R9" s="4" t="s">
        <v>221</v>
      </c>
      <c r="S9" s="4"/>
      <c r="T9" s="4"/>
      <c r="U9" s="4" t="s">
        <v>222</v>
      </c>
      <c r="V9" s="23" t="s">
        <v>223</v>
      </c>
      <c r="W9" s="23" t="s">
        <v>224</v>
      </c>
      <c r="X9" s="23" t="s">
        <v>225</v>
      </c>
      <c r="Y9" s="23"/>
      <c r="Z9" s="23"/>
      <c r="AA9" s="23"/>
      <c r="AB9" s="23"/>
      <c r="AC9" s="4" t="s">
        <v>226</v>
      </c>
      <c r="AD9" s="26" t="n">
        <f aca="false">COUNTA(V9:AA9)</f>
        <v>3</v>
      </c>
      <c r="AE9" s="27"/>
      <c r="AF9" s="27" t="s">
        <v>34</v>
      </c>
      <c r="AG9" s="28"/>
      <c r="AH9" s="27"/>
      <c r="AI9" s="27"/>
      <c r="AJ9" s="27"/>
      <c r="AK9" s="27"/>
      <c r="AL9" s="28"/>
      <c r="AM9" s="28"/>
      <c r="AN9" s="29"/>
      <c r="AO9" s="4" t="str">
        <f aca="false">IFERROR(INDEX(Playbook!$C$4:$C$17,MATCH($AF9,Playbook!$A$4:$A$17,0)),"")</f>
        <v>Read the row: tier, segment, trigger, reason we lose them. Check contact coverage; if 0, enrich before anything else.</v>
      </c>
      <c r="AP9" s="23" t="str">
        <f aca="false">IFERROR(INDEX(Playbook!$D$4:$D$17,MATCH($AF9,Playbook!$A$4:$A$17,0)),"")</f>
        <v>—</v>
      </c>
      <c r="AQ9" s="4" t="str">
        <f aca="false">IFERROR(INDEX(Playbook!$E$4:$E$17,MATCH($AF9,Playbook!$A$4:$A$17,0)),"")</f>
        <v>Row read and a contact channel exists</v>
      </c>
      <c r="AR9" s="30" t="n">
        <f aca="false">IFERROR(INDEX(Playbook!$G$4:$G$17,MATCH($AF9,Playbook!$A$4:$A$17,0)),0)</f>
        <v>0</v>
      </c>
      <c r="AS9" s="31" t="n">
        <f aca="false">IFERROR(INDEX('Pricing &amp; Pilot'!$D$4:$D$6,MATCH($D9,'Pricing &amp; Pilot'!$A$4:$A$6,0)),0)</f>
        <v>3600</v>
      </c>
      <c r="AT9" s="31" t="n">
        <f aca="false">AS9*AR9</f>
        <v>0</v>
      </c>
      <c r="AU9" s="23" t="str">
        <f aca="true">IF(AL9="","",TODAY()-AL9)</f>
        <v/>
      </c>
      <c r="AV9" s="23" t="str">
        <f aca="true">IF(AM9="","",IF(AND(AM9&lt;TODAY(),$AF9&lt;&gt;"Customer",$AF9&lt;&gt;"Lost",$AF9&lt;&gt;"Not a fit"),"OVERDUE",""))</f>
        <v/>
      </c>
      <c r="AW9" s="23" t="str">
        <f aca="false">IF(AV9="OVERDUE","RED",IF($AF9="Not started","—",IF($AF9="Customer","GREEN",IF(OR($AF9="Lost",$AF9="Not a fit"),"CLOSED","AMBER"))))</f>
        <v>—</v>
      </c>
    </row>
    <row r="10" customFormat="false" ht="48" hidden="false" customHeight="true" outlineLevel="0" collapsed="false">
      <c r="A10" s="23" t="n">
        <v>9</v>
      </c>
      <c r="B10" s="32" t="s">
        <v>215</v>
      </c>
      <c r="C10" s="23" t="str">
        <f aca="false">IF(OR(B10="A",B10="B"),"Yes","No")</f>
        <v>Yes</v>
      </c>
      <c r="D10" s="23" t="s">
        <v>147</v>
      </c>
      <c r="E10" s="23" t="s">
        <v>227</v>
      </c>
      <c r="F10" s="23" t="s">
        <v>228</v>
      </c>
      <c r="G10" s="23"/>
      <c r="H10" s="23" t="s">
        <v>229</v>
      </c>
      <c r="I10" s="4" t="s">
        <v>230</v>
      </c>
      <c r="J10" s="23" t="s">
        <v>133</v>
      </c>
      <c r="K10" s="23" t="s">
        <v>134</v>
      </c>
      <c r="L10" s="23" t="s">
        <v>134</v>
      </c>
      <c r="M10" s="25" t="n">
        <v>63.6</v>
      </c>
      <c r="N10" s="23" t="s">
        <v>135</v>
      </c>
      <c r="O10" s="23" t="s">
        <v>136</v>
      </c>
      <c r="P10" s="4" t="s">
        <v>154</v>
      </c>
      <c r="Q10" s="4" t="s">
        <v>155</v>
      </c>
      <c r="R10" s="4" t="s">
        <v>231</v>
      </c>
      <c r="S10" s="4"/>
      <c r="T10" s="4"/>
      <c r="U10" s="4" t="s">
        <v>222</v>
      </c>
      <c r="V10" s="23" t="s">
        <v>232</v>
      </c>
      <c r="W10" s="23" t="s">
        <v>233</v>
      </c>
      <c r="X10" s="23" t="s">
        <v>234</v>
      </c>
      <c r="Y10" s="23" t="s">
        <v>235</v>
      </c>
      <c r="Z10" s="23" t="s">
        <v>236</v>
      </c>
      <c r="AA10" s="23"/>
      <c r="AB10" s="23"/>
      <c r="AC10" s="4" t="s">
        <v>237</v>
      </c>
      <c r="AD10" s="26" t="n">
        <f aca="false">COUNTA(V10:AA10)</f>
        <v>5</v>
      </c>
      <c r="AE10" s="27"/>
      <c r="AF10" s="27" t="s">
        <v>34</v>
      </c>
      <c r="AG10" s="28"/>
      <c r="AH10" s="27"/>
      <c r="AI10" s="27"/>
      <c r="AJ10" s="27"/>
      <c r="AK10" s="27"/>
      <c r="AL10" s="28"/>
      <c r="AM10" s="28"/>
      <c r="AN10" s="29"/>
      <c r="AO10" s="4" t="str">
        <f aca="false">IFERROR(INDEX(Playbook!$C$4:$C$17,MATCH($AF10,Playbook!$A$4:$A$17,0)),"")</f>
        <v>Read the row: tier, segment, trigger, reason we lose them. Check contact coverage; if 0, enrich before anything else.</v>
      </c>
      <c r="AP10" s="23" t="str">
        <f aca="false">IFERROR(INDEX(Playbook!$D$4:$D$17,MATCH($AF10,Playbook!$A$4:$A$17,0)),"")</f>
        <v>—</v>
      </c>
      <c r="AQ10" s="4" t="str">
        <f aca="false">IFERROR(INDEX(Playbook!$E$4:$E$17,MATCH($AF10,Playbook!$A$4:$A$17,0)),"")</f>
        <v>Row read and a contact channel exists</v>
      </c>
      <c r="AR10" s="30" t="n">
        <f aca="false">IFERROR(INDEX(Playbook!$G$4:$G$17,MATCH($AF10,Playbook!$A$4:$A$17,0)),0)</f>
        <v>0</v>
      </c>
      <c r="AS10" s="31" t="n">
        <f aca="false">IFERROR(INDEX('Pricing &amp; Pilot'!$D$4:$D$6,MATCH($D10,'Pricing &amp; Pilot'!$A$4:$A$6,0)),0)</f>
        <v>6480</v>
      </c>
      <c r="AT10" s="31" t="n">
        <f aca="false">AS10*AR10</f>
        <v>0</v>
      </c>
      <c r="AU10" s="23" t="str">
        <f aca="true">IF(AL10="","",TODAY()-AL10)</f>
        <v/>
      </c>
      <c r="AV10" s="23" t="str">
        <f aca="true">IF(AM10="","",IF(AND(AM10&lt;TODAY(),$AF10&lt;&gt;"Customer",$AF10&lt;&gt;"Lost",$AF10&lt;&gt;"Not a fit"),"OVERDUE",""))</f>
        <v/>
      </c>
      <c r="AW10" s="23" t="str">
        <f aca="false">IF(AV10="OVERDUE","RED",IF($AF10="Not started","—",IF($AF10="Customer","GREEN",IF(OR($AF10="Lost",$AF10="Not a fit"),"CLOSED","AMBER"))))</f>
        <v>—</v>
      </c>
    </row>
    <row r="11" customFormat="false" ht="48" hidden="false" customHeight="true" outlineLevel="0" collapsed="false">
      <c r="A11" s="23" t="n">
        <v>10</v>
      </c>
      <c r="B11" s="32" t="s">
        <v>215</v>
      </c>
      <c r="C11" s="23" t="str">
        <f aca="false">IF(OR(B11="A",B11="B"),"Yes","No")</f>
        <v>Yes</v>
      </c>
      <c r="D11" s="23" t="s">
        <v>147</v>
      </c>
      <c r="E11" s="23" t="s">
        <v>238</v>
      </c>
      <c r="F11" s="23" t="s">
        <v>239</v>
      </c>
      <c r="G11" s="23"/>
      <c r="H11" s="23" t="s">
        <v>164</v>
      </c>
      <c r="I11" s="4" t="s">
        <v>165</v>
      </c>
      <c r="J11" s="23" t="s">
        <v>133</v>
      </c>
      <c r="K11" s="23" t="s">
        <v>134</v>
      </c>
      <c r="L11" s="23" t="s">
        <v>134</v>
      </c>
      <c r="M11" s="25" t="n">
        <v>63.6</v>
      </c>
      <c r="N11" s="23" t="s">
        <v>135</v>
      </c>
      <c r="O11" s="23" t="s">
        <v>136</v>
      </c>
      <c r="P11" s="4" t="s">
        <v>154</v>
      </c>
      <c r="Q11" s="4" t="s">
        <v>155</v>
      </c>
      <c r="R11" s="4" t="s">
        <v>167</v>
      </c>
      <c r="S11" s="4"/>
      <c r="T11" s="4"/>
      <c r="U11" s="4" t="s">
        <v>222</v>
      </c>
      <c r="V11" s="23"/>
      <c r="W11" s="23"/>
      <c r="X11" s="23"/>
      <c r="Y11" s="23"/>
      <c r="Z11" s="23"/>
      <c r="AA11" s="23"/>
      <c r="AB11" s="23"/>
      <c r="AC11" s="4" t="s">
        <v>240</v>
      </c>
      <c r="AD11" s="26" t="n">
        <f aca="false">COUNTA(V11:AA11)</f>
        <v>0</v>
      </c>
      <c r="AE11" s="27"/>
      <c r="AF11" s="27" t="s">
        <v>34</v>
      </c>
      <c r="AG11" s="28"/>
      <c r="AH11" s="27"/>
      <c r="AI11" s="27"/>
      <c r="AJ11" s="27"/>
      <c r="AK11" s="27"/>
      <c r="AL11" s="28"/>
      <c r="AM11" s="28"/>
      <c r="AN11" s="29"/>
      <c r="AO11" s="4" t="str">
        <f aca="false">IFERROR(INDEX(Playbook!$C$4:$C$17,MATCH($AF11,Playbook!$A$4:$A$17,0)),"")</f>
        <v>Read the row: tier, segment, trigger, reason we lose them. Check contact coverage; if 0, enrich before anything else.</v>
      </c>
      <c r="AP11" s="23" t="str">
        <f aca="false">IFERROR(INDEX(Playbook!$D$4:$D$17,MATCH($AF11,Playbook!$A$4:$A$17,0)),"")</f>
        <v>—</v>
      </c>
      <c r="AQ11" s="4" t="str">
        <f aca="false">IFERROR(INDEX(Playbook!$E$4:$E$17,MATCH($AF11,Playbook!$A$4:$A$17,0)),"")</f>
        <v>Row read and a contact channel exists</v>
      </c>
      <c r="AR11" s="30" t="n">
        <f aca="false">IFERROR(INDEX(Playbook!$G$4:$G$17,MATCH($AF11,Playbook!$A$4:$A$17,0)),0)</f>
        <v>0</v>
      </c>
      <c r="AS11" s="31" t="n">
        <f aca="false">IFERROR(INDEX('Pricing &amp; Pilot'!$D$4:$D$6,MATCH($D11,'Pricing &amp; Pilot'!$A$4:$A$6,0)),0)</f>
        <v>6480</v>
      </c>
      <c r="AT11" s="31" t="n">
        <f aca="false">AS11*AR11</f>
        <v>0</v>
      </c>
      <c r="AU11" s="23" t="str">
        <f aca="true">IF(AL11="","",TODAY()-AL11)</f>
        <v/>
      </c>
      <c r="AV11" s="23" t="str">
        <f aca="true">IF(AM11="","",IF(AND(AM11&lt;TODAY(),$AF11&lt;&gt;"Customer",$AF11&lt;&gt;"Lost",$AF11&lt;&gt;"Not a fit"),"OVERDUE",""))</f>
        <v/>
      </c>
      <c r="AW11" s="23" t="str">
        <f aca="false">IF(AV11="OVERDUE","RED",IF($AF11="Not started","—",IF($AF11="Customer","GREEN",IF(OR($AF11="Lost",$AF11="Not a fit"),"CLOSED","AMBER"))))</f>
        <v>—</v>
      </c>
    </row>
    <row r="12" customFormat="false" ht="48" hidden="false" customHeight="true" outlineLevel="0" collapsed="false">
      <c r="A12" s="23" t="n">
        <v>11</v>
      </c>
      <c r="B12" s="32" t="s">
        <v>215</v>
      </c>
      <c r="C12" s="23" t="str">
        <f aca="false">IF(OR(B12="A",B12="B"),"Yes","No")</f>
        <v>Yes</v>
      </c>
      <c r="D12" s="23" t="s">
        <v>147</v>
      </c>
      <c r="E12" s="23" t="s">
        <v>241</v>
      </c>
      <c r="F12" s="23" t="s">
        <v>242</v>
      </c>
      <c r="G12" s="23"/>
      <c r="H12" s="23" t="s">
        <v>164</v>
      </c>
      <c r="I12" s="4" t="s">
        <v>165</v>
      </c>
      <c r="J12" s="23" t="s">
        <v>133</v>
      </c>
      <c r="K12" s="23" t="s">
        <v>243</v>
      </c>
      <c r="L12" s="23" t="s">
        <v>134</v>
      </c>
      <c r="M12" s="25" t="n">
        <v>63.6</v>
      </c>
      <c r="N12" s="23" t="s">
        <v>135</v>
      </c>
      <c r="O12" s="23" t="s">
        <v>136</v>
      </c>
      <c r="P12" s="4" t="s">
        <v>154</v>
      </c>
      <c r="Q12" s="4" t="s">
        <v>155</v>
      </c>
      <c r="R12" s="4" t="s">
        <v>167</v>
      </c>
      <c r="S12" s="4"/>
      <c r="T12" s="4"/>
      <c r="U12" s="4" t="s">
        <v>222</v>
      </c>
      <c r="V12" s="23" t="s">
        <v>244</v>
      </c>
      <c r="W12" s="23" t="s">
        <v>245</v>
      </c>
      <c r="X12" s="23"/>
      <c r="Y12" s="23"/>
      <c r="Z12" s="23"/>
      <c r="AA12" s="23"/>
      <c r="AB12" s="23"/>
      <c r="AC12" s="4" t="s">
        <v>246</v>
      </c>
      <c r="AD12" s="26" t="n">
        <f aca="false">COUNTA(V12:AA12)</f>
        <v>2</v>
      </c>
      <c r="AE12" s="27"/>
      <c r="AF12" s="27" t="s">
        <v>34</v>
      </c>
      <c r="AG12" s="28"/>
      <c r="AH12" s="27"/>
      <c r="AI12" s="27"/>
      <c r="AJ12" s="27"/>
      <c r="AK12" s="27"/>
      <c r="AL12" s="28"/>
      <c r="AM12" s="28"/>
      <c r="AN12" s="29"/>
      <c r="AO12" s="4" t="str">
        <f aca="false">IFERROR(INDEX(Playbook!$C$4:$C$17,MATCH($AF12,Playbook!$A$4:$A$17,0)),"")</f>
        <v>Read the row: tier, segment, trigger, reason we lose them. Check contact coverage; if 0, enrich before anything else.</v>
      </c>
      <c r="AP12" s="23" t="str">
        <f aca="false">IFERROR(INDEX(Playbook!$D$4:$D$17,MATCH($AF12,Playbook!$A$4:$A$17,0)),"")</f>
        <v>—</v>
      </c>
      <c r="AQ12" s="4" t="str">
        <f aca="false">IFERROR(INDEX(Playbook!$E$4:$E$17,MATCH($AF12,Playbook!$A$4:$A$17,0)),"")</f>
        <v>Row read and a contact channel exists</v>
      </c>
      <c r="AR12" s="30" t="n">
        <f aca="false">IFERROR(INDEX(Playbook!$G$4:$G$17,MATCH($AF12,Playbook!$A$4:$A$17,0)),0)</f>
        <v>0</v>
      </c>
      <c r="AS12" s="31" t="n">
        <f aca="false">IFERROR(INDEX('Pricing &amp; Pilot'!$D$4:$D$6,MATCH($D12,'Pricing &amp; Pilot'!$A$4:$A$6,0)),0)</f>
        <v>6480</v>
      </c>
      <c r="AT12" s="31" t="n">
        <f aca="false">AS12*AR12</f>
        <v>0</v>
      </c>
      <c r="AU12" s="23" t="str">
        <f aca="true">IF(AL12="","",TODAY()-AL12)</f>
        <v/>
      </c>
      <c r="AV12" s="23" t="str">
        <f aca="true">IF(AM12="","",IF(AND(AM12&lt;TODAY(),$AF12&lt;&gt;"Customer",$AF12&lt;&gt;"Lost",$AF12&lt;&gt;"Not a fit"),"OVERDUE",""))</f>
        <v/>
      </c>
      <c r="AW12" s="23" t="str">
        <f aca="false">IF(AV12="OVERDUE","RED",IF($AF12="Not started","—",IF($AF12="Customer","GREEN",IF(OR($AF12="Lost",$AF12="Not a fit"),"CLOSED","AMBER"))))</f>
        <v>—</v>
      </c>
    </row>
    <row r="13" customFormat="false" ht="48" hidden="false" customHeight="true" outlineLevel="0" collapsed="false">
      <c r="A13" s="23" t="n">
        <v>12</v>
      </c>
      <c r="B13" s="32" t="s">
        <v>215</v>
      </c>
      <c r="C13" s="23" t="str">
        <f aca="false">IF(OR(B13="A",B13="B"),"Yes","No")</f>
        <v>Yes</v>
      </c>
      <c r="D13" s="23" t="s">
        <v>147</v>
      </c>
      <c r="E13" s="23" t="s">
        <v>247</v>
      </c>
      <c r="F13" s="23" t="s">
        <v>248</v>
      </c>
      <c r="G13" s="23" t="s">
        <v>249</v>
      </c>
      <c r="H13" s="23" t="s">
        <v>250</v>
      </c>
      <c r="I13" s="4" t="s">
        <v>230</v>
      </c>
      <c r="J13" s="23" t="s">
        <v>133</v>
      </c>
      <c r="K13" s="23" t="s">
        <v>220</v>
      </c>
      <c r="L13" s="23" t="s">
        <v>134</v>
      </c>
      <c r="M13" s="25" t="n">
        <v>63.6</v>
      </c>
      <c r="N13" s="23" t="s">
        <v>135</v>
      </c>
      <c r="O13" s="23" t="s">
        <v>136</v>
      </c>
      <c r="P13" s="4" t="s">
        <v>154</v>
      </c>
      <c r="Q13" s="4" t="s">
        <v>155</v>
      </c>
      <c r="R13" s="4" t="s">
        <v>251</v>
      </c>
      <c r="S13" s="4"/>
      <c r="T13" s="4"/>
      <c r="U13" s="4" t="s">
        <v>222</v>
      </c>
      <c r="V13" s="23"/>
      <c r="W13" s="23"/>
      <c r="X13" s="23"/>
      <c r="Y13" s="23"/>
      <c r="Z13" s="23"/>
      <c r="AA13" s="23"/>
      <c r="AB13" s="23"/>
      <c r="AC13" s="4" t="s">
        <v>252</v>
      </c>
      <c r="AD13" s="26" t="n">
        <f aca="false">COUNTA(V13:AA13)</f>
        <v>0</v>
      </c>
      <c r="AE13" s="27"/>
      <c r="AF13" s="27" t="s">
        <v>34</v>
      </c>
      <c r="AG13" s="28"/>
      <c r="AH13" s="27"/>
      <c r="AI13" s="27"/>
      <c r="AJ13" s="27"/>
      <c r="AK13" s="27"/>
      <c r="AL13" s="28"/>
      <c r="AM13" s="28"/>
      <c r="AN13" s="29"/>
      <c r="AO13" s="4" t="str">
        <f aca="false">IFERROR(INDEX(Playbook!$C$4:$C$17,MATCH($AF13,Playbook!$A$4:$A$17,0)),"")</f>
        <v>Read the row: tier, segment, trigger, reason we lose them. Check contact coverage; if 0, enrich before anything else.</v>
      </c>
      <c r="AP13" s="23" t="str">
        <f aca="false">IFERROR(INDEX(Playbook!$D$4:$D$17,MATCH($AF13,Playbook!$A$4:$A$17,0)),"")</f>
        <v>—</v>
      </c>
      <c r="AQ13" s="4" t="str">
        <f aca="false">IFERROR(INDEX(Playbook!$E$4:$E$17,MATCH($AF13,Playbook!$A$4:$A$17,0)),"")</f>
        <v>Row read and a contact channel exists</v>
      </c>
      <c r="AR13" s="30" t="n">
        <f aca="false">IFERROR(INDEX(Playbook!$G$4:$G$17,MATCH($AF13,Playbook!$A$4:$A$17,0)),0)</f>
        <v>0</v>
      </c>
      <c r="AS13" s="31" t="n">
        <f aca="false">IFERROR(INDEX('Pricing &amp; Pilot'!$D$4:$D$6,MATCH($D13,'Pricing &amp; Pilot'!$A$4:$A$6,0)),0)</f>
        <v>6480</v>
      </c>
      <c r="AT13" s="31" t="n">
        <f aca="false">AS13*AR13</f>
        <v>0</v>
      </c>
      <c r="AU13" s="23" t="str">
        <f aca="true">IF(AL13="","",TODAY()-AL13)</f>
        <v/>
      </c>
      <c r="AV13" s="23" t="str">
        <f aca="true">IF(AM13="","",IF(AND(AM13&lt;TODAY(),$AF13&lt;&gt;"Customer",$AF13&lt;&gt;"Lost",$AF13&lt;&gt;"Not a fit"),"OVERDUE",""))</f>
        <v/>
      </c>
      <c r="AW13" s="23" t="str">
        <f aca="false">IF(AV13="OVERDUE","RED",IF($AF13="Not started","—",IF($AF13="Customer","GREEN",IF(OR($AF13="Lost",$AF13="Not a fit"),"CLOSED","AMBER"))))</f>
        <v>—</v>
      </c>
    </row>
    <row r="14" customFormat="false" ht="48" hidden="false" customHeight="true" outlineLevel="0" collapsed="false">
      <c r="A14" s="23" t="n">
        <v>13</v>
      </c>
      <c r="B14" s="32" t="s">
        <v>215</v>
      </c>
      <c r="C14" s="23" t="str">
        <f aca="false">IF(OR(B14="A",B14="B"),"Yes","No")</f>
        <v>Yes</v>
      </c>
      <c r="D14" s="23" t="s">
        <v>147</v>
      </c>
      <c r="E14" s="23" t="s">
        <v>253</v>
      </c>
      <c r="F14" s="23" t="s">
        <v>254</v>
      </c>
      <c r="G14" s="23" t="s">
        <v>255</v>
      </c>
      <c r="H14" s="23" t="s">
        <v>164</v>
      </c>
      <c r="I14" s="4" t="s">
        <v>165</v>
      </c>
      <c r="J14" s="23" t="s">
        <v>133</v>
      </c>
      <c r="K14" s="23" t="s">
        <v>256</v>
      </c>
      <c r="L14" s="23" t="s">
        <v>134</v>
      </c>
      <c r="M14" s="25" t="n">
        <v>63.6</v>
      </c>
      <c r="N14" s="23" t="s">
        <v>135</v>
      </c>
      <c r="O14" s="23" t="s">
        <v>136</v>
      </c>
      <c r="P14" s="4" t="s">
        <v>154</v>
      </c>
      <c r="Q14" s="4" t="s">
        <v>155</v>
      </c>
      <c r="R14" s="4" t="s">
        <v>167</v>
      </c>
      <c r="S14" s="4"/>
      <c r="T14" s="4"/>
      <c r="U14" s="4" t="s">
        <v>222</v>
      </c>
      <c r="V14" s="23"/>
      <c r="W14" s="23"/>
      <c r="X14" s="23"/>
      <c r="Y14" s="23"/>
      <c r="Z14" s="23"/>
      <c r="AA14" s="23"/>
      <c r="AB14" s="23"/>
      <c r="AC14" s="4" t="s">
        <v>257</v>
      </c>
      <c r="AD14" s="26" t="n">
        <f aca="false">COUNTA(V14:AA14)</f>
        <v>0</v>
      </c>
      <c r="AE14" s="27"/>
      <c r="AF14" s="27" t="s">
        <v>34</v>
      </c>
      <c r="AG14" s="28"/>
      <c r="AH14" s="27"/>
      <c r="AI14" s="27"/>
      <c r="AJ14" s="27"/>
      <c r="AK14" s="27"/>
      <c r="AL14" s="28"/>
      <c r="AM14" s="28"/>
      <c r="AN14" s="29"/>
      <c r="AO14" s="4" t="str">
        <f aca="false">IFERROR(INDEX(Playbook!$C$4:$C$17,MATCH($AF14,Playbook!$A$4:$A$17,0)),"")</f>
        <v>Read the row: tier, segment, trigger, reason we lose them. Check contact coverage; if 0, enrich before anything else.</v>
      </c>
      <c r="AP14" s="23" t="str">
        <f aca="false">IFERROR(INDEX(Playbook!$D$4:$D$17,MATCH($AF14,Playbook!$A$4:$A$17,0)),"")</f>
        <v>—</v>
      </c>
      <c r="AQ14" s="4" t="str">
        <f aca="false">IFERROR(INDEX(Playbook!$E$4:$E$17,MATCH($AF14,Playbook!$A$4:$A$17,0)),"")</f>
        <v>Row read and a contact channel exists</v>
      </c>
      <c r="AR14" s="30" t="n">
        <f aca="false">IFERROR(INDEX(Playbook!$G$4:$G$17,MATCH($AF14,Playbook!$A$4:$A$17,0)),0)</f>
        <v>0</v>
      </c>
      <c r="AS14" s="31" t="n">
        <f aca="false">IFERROR(INDEX('Pricing &amp; Pilot'!$D$4:$D$6,MATCH($D14,'Pricing &amp; Pilot'!$A$4:$A$6,0)),0)</f>
        <v>6480</v>
      </c>
      <c r="AT14" s="31" t="n">
        <f aca="false">AS14*AR14</f>
        <v>0</v>
      </c>
      <c r="AU14" s="23" t="str">
        <f aca="true">IF(AL14="","",TODAY()-AL14)</f>
        <v/>
      </c>
      <c r="AV14" s="23" t="str">
        <f aca="true">IF(AM14="","",IF(AND(AM14&lt;TODAY(),$AF14&lt;&gt;"Customer",$AF14&lt;&gt;"Lost",$AF14&lt;&gt;"Not a fit"),"OVERDUE",""))</f>
        <v/>
      </c>
      <c r="AW14" s="23" t="str">
        <f aca="false">IF(AV14="OVERDUE","RED",IF($AF14="Not started","—",IF($AF14="Customer","GREEN",IF(OR($AF14="Lost",$AF14="Not a fit"),"CLOSED","AMBER"))))</f>
        <v>—</v>
      </c>
    </row>
    <row r="15" customFormat="false" ht="48" hidden="false" customHeight="true" outlineLevel="0" collapsed="false">
      <c r="A15" s="23" t="n">
        <v>14</v>
      </c>
      <c r="B15" s="32" t="s">
        <v>215</v>
      </c>
      <c r="C15" s="23" t="str">
        <f aca="false">IF(OR(B15="A",B15="B"),"Yes","No")</f>
        <v>Yes</v>
      </c>
      <c r="D15" s="23" t="s">
        <v>147</v>
      </c>
      <c r="E15" s="23" t="s">
        <v>258</v>
      </c>
      <c r="F15" s="23" t="s">
        <v>259</v>
      </c>
      <c r="G15" s="23" t="s">
        <v>260</v>
      </c>
      <c r="H15" s="23" t="s">
        <v>151</v>
      </c>
      <c r="I15" s="4" t="s">
        <v>152</v>
      </c>
      <c r="J15" s="23" t="s">
        <v>133</v>
      </c>
      <c r="K15" s="23" t="s">
        <v>261</v>
      </c>
      <c r="L15" s="23" t="s">
        <v>134</v>
      </c>
      <c r="M15" s="25" t="n">
        <v>63.6</v>
      </c>
      <c r="N15" s="23" t="s">
        <v>135</v>
      </c>
      <c r="O15" s="23" t="s">
        <v>136</v>
      </c>
      <c r="P15" s="4" t="s">
        <v>154</v>
      </c>
      <c r="Q15" s="4" t="s">
        <v>155</v>
      </c>
      <c r="R15" s="4" t="s">
        <v>156</v>
      </c>
      <c r="S15" s="4"/>
      <c r="T15" s="4"/>
      <c r="U15" s="4" t="s">
        <v>222</v>
      </c>
      <c r="V15" s="23"/>
      <c r="W15" s="23"/>
      <c r="X15" s="23"/>
      <c r="Y15" s="23"/>
      <c r="Z15" s="23"/>
      <c r="AA15" s="23"/>
      <c r="AB15" s="23"/>
      <c r="AC15" s="4" t="s">
        <v>262</v>
      </c>
      <c r="AD15" s="26" t="n">
        <f aca="false">COUNTA(V15:AA15)</f>
        <v>0</v>
      </c>
      <c r="AE15" s="27"/>
      <c r="AF15" s="27" t="s">
        <v>34</v>
      </c>
      <c r="AG15" s="28"/>
      <c r="AH15" s="27"/>
      <c r="AI15" s="27"/>
      <c r="AJ15" s="27"/>
      <c r="AK15" s="27"/>
      <c r="AL15" s="28"/>
      <c r="AM15" s="28"/>
      <c r="AN15" s="29"/>
      <c r="AO15" s="4" t="str">
        <f aca="false">IFERROR(INDEX(Playbook!$C$4:$C$17,MATCH($AF15,Playbook!$A$4:$A$17,0)),"")</f>
        <v>Read the row: tier, segment, trigger, reason we lose them. Check contact coverage; if 0, enrich before anything else.</v>
      </c>
      <c r="AP15" s="23" t="str">
        <f aca="false">IFERROR(INDEX(Playbook!$D$4:$D$17,MATCH($AF15,Playbook!$A$4:$A$17,0)),"")</f>
        <v>—</v>
      </c>
      <c r="AQ15" s="4" t="str">
        <f aca="false">IFERROR(INDEX(Playbook!$E$4:$E$17,MATCH($AF15,Playbook!$A$4:$A$17,0)),"")</f>
        <v>Row read and a contact channel exists</v>
      </c>
      <c r="AR15" s="30" t="n">
        <f aca="false">IFERROR(INDEX(Playbook!$G$4:$G$17,MATCH($AF15,Playbook!$A$4:$A$17,0)),0)</f>
        <v>0</v>
      </c>
      <c r="AS15" s="31" t="n">
        <f aca="false">IFERROR(INDEX('Pricing &amp; Pilot'!$D$4:$D$6,MATCH($D15,'Pricing &amp; Pilot'!$A$4:$A$6,0)),0)</f>
        <v>6480</v>
      </c>
      <c r="AT15" s="31" t="n">
        <f aca="false">AS15*AR15</f>
        <v>0</v>
      </c>
      <c r="AU15" s="23" t="str">
        <f aca="true">IF(AL15="","",TODAY()-AL15)</f>
        <v/>
      </c>
      <c r="AV15" s="23" t="str">
        <f aca="true">IF(AM15="","",IF(AND(AM15&lt;TODAY(),$AF15&lt;&gt;"Customer",$AF15&lt;&gt;"Lost",$AF15&lt;&gt;"Not a fit"),"OVERDUE",""))</f>
        <v/>
      </c>
      <c r="AW15" s="23" t="str">
        <f aca="false">IF(AV15="OVERDUE","RED",IF($AF15="Not started","—",IF($AF15="Customer","GREEN",IF(OR($AF15="Lost",$AF15="Not a fit"),"CLOSED","AMBER"))))</f>
        <v>—</v>
      </c>
    </row>
    <row r="16" customFormat="false" ht="48" hidden="false" customHeight="true" outlineLevel="0" collapsed="false">
      <c r="A16" s="23" t="n">
        <v>15</v>
      </c>
      <c r="B16" s="32" t="s">
        <v>215</v>
      </c>
      <c r="C16" s="23" t="str">
        <f aca="false">IF(OR(B16="A",B16="B"),"Yes","No")</f>
        <v>Yes</v>
      </c>
      <c r="D16" s="23" t="s">
        <v>147</v>
      </c>
      <c r="E16" s="23" t="s">
        <v>263</v>
      </c>
      <c r="F16" s="23" t="s">
        <v>264</v>
      </c>
      <c r="G16" s="23"/>
      <c r="H16" s="23" t="s">
        <v>151</v>
      </c>
      <c r="I16" s="4" t="s">
        <v>152</v>
      </c>
      <c r="J16" s="23" t="s">
        <v>133</v>
      </c>
      <c r="K16" s="23" t="s">
        <v>265</v>
      </c>
      <c r="L16" s="23" t="s">
        <v>134</v>
      </c>
      <c r="M16" s="25" t="n">
        <v>63.6</v>
      </c>
      <c r="N16" s="23" t="s">
        <v>135</v>
      </c>
      <c r="O16" s="23" t="s">
        <v>136</v>
      </c>
      <c r="P16" s="4" t="s">
        <v>154</v>
      </c>
      <c r="Q16" s="4" t="s">
        <v>155</v>
      </c>
      <c r="R16" s="4" t="s">
        <v>156</v>
      </c>
      <c r="S16" s="4"/>
      <c r="T16" s="4"/>
      <c r="U16" s="4" t="s">
        <v>222</v>
      </c>
      <c r="V16" s="23" t="s">
        <v>266</v>
      </c>
      <c r="W16" s="23"/>
      <c r="X16" s="23"/>
      <c r="Y16" s="23"/>
      <c r="Z16" s="23"/>
      <c r="AA16" s="23"/>
      <c r="AB16" s="23"/>
      <c r="AC16" s="4" t="s">
        <v>267</v>
      </c>
      <c r="AD16" s="26" t="n">
        <f aca="false">COUNTA(V16:AA16)</f>
        <v>1</v>
      </c>
      <c r="AE16" s="27"/>
      <c r="AF16" s="27" t="s">
        <v>34</v>
      </c>
      <c r="AG16" s="28"/>
      <c r="AH16" s="27"/>
      <c r="AI16" s="27"/>
      <c r="AJ16" s="27"/>
      <c r="AK16" s="27"/>
      <c r="AL16" s="28"/>
      <c r="AM16" s="28"/>
      <c r="AN16" s="29"/>
      <c r="AO16" s="4" t="str">
        <f aca="false">IFERROR(INDEX(Playbook!$C$4:$C$17,MATCH($AF16,Playbook!$A$4:$A$17,0)),"")</f>
        <v>Read the row: tier, segment, trigger, reason we lose them. Check contact coverage; if 0, enrich before anything else.</v>
      </c>
      <c r="AP16" s="23" t="str">
        <f aca="false">IFERROR(INDEX(Playbook!$D$4:$D$17,MATCH($AF16,Playbook!$A$4:$A$17,0)),"")</f>
        <v>—</v>
      </c>
      <c r="AQ16" s="4" t="str">
        <f aca="false">IFERROR(INDEX(Playbook!$E$4:$E$17,MATCH($AF16,Playbook!$A$4:$A$17,0)),"")</f>
        <v>Row read and a contact channel exists</v>
      </c>
      <c r="AR16" s="30" t="n">
        <f aca="false">IFERROR(INDEX(Playbook!$G$4:$G$17,MATCH($AF16,Playbook!$A$4:$A$17,0)),0)</f>
        <v>0</v>
      </c>
      <c r="AS16" s="31" t="n">
        <f aca="false">IFERROR(INDEX('Pricing &amp; Pilot'!$D$4:$D$6,MATCH($D16,'Pricing &amp; Pilot'!$A$4:$A$6,0)),0)</f>
        <v>6480</v>
      </c>
      <c r="AT16" s="31" t="n">
        <f aca="false">AS16*AR16</f>
        <v>0</v>
      </c>
      <c r="AU16" s="23" t="str">
        <f aca="true">IF(AL16="","",TODAY()-AL16)</f>
        <v/>
      </c>
      <c r="AV16" s="23" t="str">
        <f aca="true">IF(AM16="","",IF(AND(AM16&lt;TODAY(),$AF16&lt;&gt;"Customer",$AF16&lt;&gt;"Lost",$AF16&lt;&gt;"Not a fit"),"OVERDUE",""))</f>
        <v/>
      </c>
      <c r="AW16" s="23" t="str">
        <f aca="false">IF(AV16="OVERDUE","RED",IF($AF16="Not started","—",IF($AF16="Customer","GREEN",IF(OR($AF16="Lost",$AF16="Not a fit"),"CLOSED","AMBER"))))</f>
        <v>—</v>
      </c>
    </row>
    <row r="17" customFormat="false" ht="48" hidden="false" customHeight="true" outlineLevel="0" collapsed="false">
      <c r="A17" s="23" t="n">
        <v>16</v>
      </c>
      <c r="B17" s="32" t="s">
        <v>215</v>
      </c>
      <c r="C17" s="23" t="str">
        <f aca="false">IF(OR(B17="A",B17="B"),"Yes","No")</f>
        <v>Yes</v>
      </c>
      <c r="D17" s="23" t="s">
        <v>147</v>
      </c>
      <c r="E17" s="23" t="s">
        <v>268</v>
      </c>
      <c r="F17" s="23" t="s">
        <v>269</v>
      </c>
      <c r="G17" s="23"/>
      <c r="H17" s="23" t="s">
        <v>229</v>
      </c>
      <c r="I17" s="4" t="s">
        <v>230</v>
      </c>
      <c r="J17" s="23" t="s">
        <v>133</v>
      </c>
      <c r="K17" s="23" t="s">
        <v>134</v>
      </c>
      <c r="L17" s="23" t="s">
        <v>134</v>
      </c>
      <c r="M17" s="25" t="n">
        <v>63.6</v>
      </c>
      <c r="N17" s="23" t="s">
        <v>135</v>
      </c>
      <c r="O17" s="23" t="s">
        <v>136</v>
      </c>
      <c r="P17" s="4" t="s">
        <v>154</v>
      </c>
      <c r="Q17" s="4" t="s">
        <v>155</v>
      </c>
      <c r="R17" s="4" t="s">
        <v>231</v>
      </c>
      <c r="S17" s="4"/>
      <c r="T17" s="4"/>
      <c r="U17" s="4" t="s">
        <v>222</v>
      </c>
      <c r="V17" s="23"/>
      <c r="W17" s="23"/>
      <c r="X17" s="23"/>
      <c r="Y17" s="23"/>
      <c r="Z17" s="23"/>
      <c r="AA17" s="23"/>
      <c r="AB17" s="23"/>
      <c r="AC17" s="4" t="s">
        <v>270</v>
      </c>
      <c r="AD17" s="26" t="n">
        <f aca="false">COUNTA(V17:AA17)</f>
        <v>0</v>
      </c>
      <c r="AE17" s="27"/>
      <c r="AF17" s="27" t="s">
        <v>34</v>
      </c>
      <c r="AG17" s="28"/>
      <c r="AH17" s="27"/>
      <c r="AI17" s="27"/>
      <c r="AJ17" s="27"/>
      <c r="AK17" s="27"/>
      <c r="AL17" s="28"/>
      <c r="AM17" s="28"/>
      <c r="AN17" s="29"/>
      <c r="AO17" s="4" t="str">
        <f aca="false">IFERROR(INDEX(Playbook!$C$4:$C$17,MATCH($AF17,Playbook!$A$4:$A$17,0)),"")</f>
        <v>Read the row: tier, segment, trigger, reason we lose them. Check contact coverage; if 0, enrich before anything else.</v>
      </c>
      <c r="AP17" s="23" t="str">
        <f aca="false">IFERROR(INDEX(Playbook!$D$4:$D$17,MATCH($AF17,Playbook!$A$4:$A$17,0)),"")</f>
        <v>—</v>
      </c>
      <c r="AQ17" s="4" t="str">
        <f aca="false">IFERROR(INDEX(Playbook!$E$4:$E$17,MATCH($AF17,Playbook!$A$4:$A$17,0)),"")</f>
        <v>Row read and a contact channel exists</v>
      </c>
      <c r="AR17" s="30" t="n">
        <f aca="false">IFERROR(INDEX(Playbook!$G$4:$G$17,MATCH($AF17,Playbook!$A$4:$A$17,0)),0)</f>
        <v>0</v>
      </c>
      <c r="AS17" s="31" t="n">
        <f aca="false">IFERROR(INDEX('Pricing &amp; Pilot'!$D$4:$D$6,MATCH($D17,'Pricing &amp; Pilot'!$A$4:$A$6,0)),0)</f>
        <v>6480</v>
      </c>
      <c r="AT17" s="31" t="n">
        <f aca="false">AS17*AR17</f>
        <v>0</v>
      </c>
      <c r="AU17" s="23" t="str">
        <f aca="true">IF(AL17="","",TODAY()-AL17)</f>
        <v/>
      </c>
      <c r="AV17" s="23" t="str">
        <f aca="true">IF(AM17="","",IF(AND(AM17&lt;TODAY(),$AF17&lt;&gt;"Customer",$AF17&lt;&gt;"Lost",$AF17&lt;&gt;"Not a fit"),"OVERDUE",""))</f>
        <v/>
      </c>
      <c r="AW17" s="23" t="str">
        <f aca="false">IF(AV17="OVERDUE","RED",IF($AF17="Not started","—",IF($AF17="Customer","GREEN",IF(OR($AF17="Lost",$AF17="Not a fit"),"CLOSED","AMBER"))))</f>
        <v>—</v>
      </c>
    </row>
    <row r="18" customFormat="false" ht="48" hidden="false" customHeight="true" outlineLevel="0" collapsed="false">
      <c r="A18" s="23" t="n">
        <v>17</v>
      </c>
      <c r="B18" s="32" t="s">
        <v>215</v>
      </c>
      <c r="C18" s="23" t="str">
        <f aca="false">IF(OR(B18="A",B18="B"),"Yes","No")</f>
        <v>Yes</v>
      </c>
      <c r="D18" s="23" t="s">
        <v>147</v>
      </c>
      <c r="E18" s="23" t="s">
        <v>271</v>
      </c>
      <c r="F18" s="23" t="s">
        <v>272</v>
      </c>
      <c r="G18" s="23"/>
      <c r="H18" s="23" t="s">
        <v>273</v>
      </c>
      <c r="I18" s="4" t="s">
        <v>230</v>
      </c>
      <c r="J18" s="23" t="s">
        <v>133</v>
      </c>
      <c r="K18" s="23" t="s">
        <v>274</v>
      </c>
      <c r="L18" s="23" t="s">
        <v>134</v>
      </c>
      <c r="M18" s="25" t="n">
        <v>63.6</v>
      </c>
      <c r="N18" s="23" t="s">
        <v>135</v>
      </c>
      <c r="O18" s="23" t="s">
        <v>136</v>
      </c>
      <c r="P18" s="4" t="s">
        <v>154</v>
      </c>
      <c r="Q18" s="4" t="s">
        <v>155</v>
      </c>
      <c r="R18" s="4" t="s">
        <v>275</v>
      </c>
      <c r="S18" s="4"/>
      <c r="T18" s="4"/>
      <c r="U18" s="4" t="s">
        <v>222</v>
      </c>
      <c r="V18" s="23"/>
      <c r="W18" s="23"/>
      <c r="X18" s="23"/>
      <c r="Y18" s="23"/>
      <c r="Z18" s="23"/>
      <c r="AA18" s="23"/>
      <c r="AB18" s="23"/>
      <c r="AC18" s="4" t="s">
        <v>276</v>
      </c>
      <c r="AD18" s="26" t="n">
        <f aca="false">COUNTA(V18:AA18)</f>
        <v>0</v>
      </c>
      <c r="AE18" s="27"/>
      <c r="AF18" s="27" t="s">
        <v>34</v>
      </c>
      <c r="AG18" s="28"/>
      <c r="AH18" s="27"/>
      <c r="AI18" s="27"/>
      <c r="AJ18" s="27"/>
      <c r="AK18" s="27"/>
      <c r="AL18" s="28"/>
      <c r="AM18" s="28"/>
      <c r="AN18" s="29"/>
      <c r="AO18" s="4" t="str">
        <f aca="false">IFERROR(INDEX(Playbook!$C$4:$C$17,MATCH($AF18,Playbook!$A$4:$A$17,0)),"")</f>
        <v>Read the row: tier, segment, trigger, reason we lose them. Check contact coverage; if 0, enrich before anything else.</v>
      </c>
      <c r="AP18" s="23" t="str">
        <f aca="false">IFERROR(INDEX(Playbook!$D$4:$D$17,MATCH($AF18,Playbook!$A$4:$A$17,0)),"")</f>
        <v>—</v>
      </c>
      <c r="AQ18" s="4" t="str">
        <f aca="false">IFERROR(INDEX(Playbook!$E$4:$E$17,MATCH($AF18,Playbook!$A$4:$A$17,0)),"")</f>
        <v>Row read and a contact channel exists</v>
      </c>
      <c r="AR18" s="30" t="n">
        <f aca="false">IFERROR(INDEX(Playbook!$G$4:$G$17,MATCH($AF18,Playbook!$A$4:$A$17,0)),0)</f>
        <v>0</v>
      </c>
      <c r="AS18" s="31" t="n">
        <f aca="false">IFERROR(INDEX('Pricing &amp; Pilot'!$D$4:$D$6,MATCH($D18,'Pricing &amp; Pilot'!$A$4:$A$6,0)),0)</f>
        <v>6480</v>
      </c>
      <c r="AT18" s="31" t="n">
        <f aca="false">AS18*AR18</f>
        <v>0</v>
      </c>
      <c r="AU18" s="23" t="str">
        <f aca="true">IF(AL18="","",TODAY()-AL18)</f>
        <v/>
      </c>
      <c r="AV18" s="23" t="str">
        <f aca="true">IF(AM18="","",IF(AND(AM18&lt;TODAY(),$AF18&lt;&gt;"Customer",$AF18&lt;&gt;"Lost",$AF18&lt;&gt;"Not a fit"),"OVERDUE",""))</f>
        <v/>
      </c>
      <c r="AW18" s="23" t="str">
        <f aca="false">IF(AV18="OVERDUE","RED",IF($AF18="Not started","—",IF($AF18="Customer","GREEN",IF(OR($AF18="Lost",$AF18="Not a fit"),"CLOSED","AMBER"))))</f>
        <v>—</v>
      </c>
    </row>
    <row r="19" customFormat="false" ht="48" hidden="false" customHeight="true" outlineLevel="0" collapsed="false">
      <c r="A19" s="23" t="n">
        <v>18</v>
      </c>
      <c r="B19" s="32" t="s">
        <v>215</v>
      </c>
      <c r="C19" s="23" t="str">
        <f aca="false">IF(OR(B19="A",B19="B"),"Yes","No")</f>
        <v>Yes</v>
      </c>
      <c r="D19" s="23" t="s">
        <v>147</v>
      </c>
      <c r="E19" s="23" t="s">
        <v>277</v>
      </c>
      <c r="F19" s="23" t="s">
        <v>278</v>
      </c>
      <c r="G19" s="23"/>
      <c r="H19" s="23" t="s">
        <v>151</v>
      </c>
      <c r="I19" s="4" t="s">
        <v>152</v>
      </c>
      <c r="J19" s="23" t="s">
        <v>133</v>
      </c>
      <c r="K19" s="23" t="s">
        <v>134</v>
      </c>
      <c r="L19" s="23" t="s">
        <v>134</v>
      </c>
      <c r="M19" s="25" t="n">
        <v>63.6</v>
      </c>
      <c r="N19" s="23" t="s">
        <v>135</v>
      </c>
      <c r="O19" s="23" t="s">
        <v>136</v>
      </c>
      <c r="P19" s="4" t="s">
        <v>154</v>
      </c>
      <c r="Q19" s="4" t="s">
        <v>155</v>
      </c>
      <c r="R19" s="4" t="s">
        <v>156</v>
      </c>
      <c r="S19" s="4"/>
      <c r="T19" s="4"/>
      <c r="U19" s="4" t="s">
        <v>222</v>
      </c>
      <c r="V19" s="23" t="s">
        <v>279</v>
      </c>
      <c r="W19" s="23"/>
      <c r="X19" s="23"/>
      <c r="Y19" s="23"/>
      <c r="Z19" s="23"/>
      <c r="AA19" s="23"/>
      <c r="AB19" s="23"/>
      <c r="AC19" s="4" t="s">
        <v>280</v>
      </c>
      <c r="AD19" s="26" t="n">
        <f aca="false">COUNTA(V19:AA19)</f>
        <v>1</v>
      </c>
      <c r="AE19" s="27"/>
      <c r="AF19" s="27" t="s">
        <v>34</v>
      </c>
      <c r="AG19" s="28"/>
      <c r="AH19" s="27"/>
      <c r="AI19" s="27"/>
      <c r="AJ19" s="27"/>
      <c r="AK19" s="27"/>
      <c r="AL19" s="28"/>
      <c r="AM19" s="28"/>
      <c r="AN19" s="29"/>
      <c r="AO19" s="4" t="str">
        <f aca="false">IFERROR(INDEX(Playbook!$C$4:$C$17,MATCH($AF19,Playbook!$A$4:$A$17,0)),"")</f>
        <v>Read the row: tier, segment, trigger, reason we lose them. Check contact coverage; if 0, enrich before anything else.</v>
      </c>
      <c r="AP19" s="23" t="str">
        <f aca="false">IFERROR(INDEX(Playbook!$D$4:$D$17,MATCH($AF19,Playbook!$A$4:$A$17,0)),"")</f>
        <v>—</v>
      </c>
      <c r="AQ19" s="4" t="str">
        <f aca="false">IFERROR(INDEX(Playbook!$E$4:$E$17,MATCH($AF19,Playbook!$A$4:$A$17,0)),"")</f>
        <v>Row read and a contact channel exists</v>
      </c>
      <c r="AR19" s="30" t="n">
        <f aca="false">IFERROR(INDEX(Playbook!$G$4:$G$17,MATCH($AF19,Playbook!$A$4:$A$17,0)),0)</f>
        <v>0</v>
      </c>
      <c r="AS19" s="31" t="n">
        <f aca="false">IFERROR(INDEX('Pricing &amp; Pilot'!$D$4:$D$6,MATCH($D19,'Pricing &amp; Pilot'!$A$4:$A$6,0)),0)</f>
        <v>6480</v>
      </c>
      <c r="AT19" s="31" t="n">
        <f aca="false">AS19*AR19</f>
        <v>0</v>
      </c>
      <c r="AU19" s="23" t="str">
        <f aca="true">IF(AL19="","",TODAY()-AL19)</f>
        <v/>
      </c>
      <c r="AV19" s="23" t="str">
        <f aca="true">IF(AM19="","",IF(AND(AM19&lt;TODAY(),$AF19&lt;&gt;"Customer",$AF19&lt;&gt;"Lost",$AF19&lt;&gt;"Not a fit"),"OVERDUE",""))</f>
        <v/>
      </c>
      <c r="AW19" s="23" t="str">
        <f aca="false">IF(AV19="OVERDUE","RED",IF($AF19="Not started","—",IF($AF19="Customer","GREEN",IF(OR($AF19="Lost",$AF19="Not a fit"),"CLOSED","AMBER"))))</f>
        <v>—</v>
      </c>
    </row>
    <row r="20" customFormat="false" ht="48" hidden="false" customHeight="true" outlineLevel="0" collapsed="false">
      <c r="A20" s="23" t="n">
        <v>19</v>
      </c>
      <c r="B20" s="32" t="s">
        <v>215</v>
      </c>
      <c r="C20" s="23" t="str">
        <f aca="false">IF(OR(B20="A",B20="B"),"Yes","No")</f>
        <v>Yes</v>
      </c>
      <c r="D20" s="23" t="s">
        <v>147</v>
      </c>
      <c r="E20" s="23" t="s">
        <v>281</v>
      </c>
      <c r="F20" s="23" t="s">
        <v>282</v>
      </c>
      <c r="G20" s="23" t="s">
        <v>283</v>
      </c>
      <c r="H20" s="23" t="s">
        <v>151</v>
      </c>
      <c r="I20" s="4" t="s">
        <v>152</v>
      </c>
      <c r="J20" s="23" t="s">
        <v>133</v>
      </c>
      <c r="K20" s="23" t="s">
        <v>134</v>
      </c>
      <c r="L20" s="23" t="s">
        <v>134</v>
      </c>
      <c r="M20" s="25" t="n">
        <v>63.6</v>
      </c>
      <c r="N20" s="23" t="s">
        <v>135</v>
      </c>
      <c r="O20" s="23" t="s">
        <v>136</v>
      </c>
      <c r="P20" s="4" t="s">
        <v>154</v>
      </c>
      <c r="Q20" s="4" t="s">
        <v>155</v>
      </c>
      <c r="R20" s="4" t="s">
        <v>156</v>
      </c>
      <c r="S20" s="4"/>
      <c r="T20" s="4"/>
      <c r="U20" s="4" t="s">
        <v>222</v>
      </c>
      <c r="V20" s="23"/>
      <c r="W20" s="23"/>
      <c r="X20" s="23"/>
      <c r="Y20" s="23"/>
      <c r="Z20" s="23"/>
      <c r="AA20" s="23"/>
      <c r="AB20" s="23"/>
      <c r="AC20" s="4" t="s">
        <v>284</v>
      </c>
      <c r="AD20" s="26" t="n">
        <f aca="false">COUNTA(V20:AA20)</f>
        <v>0</v>
      </c>
      <c r="AE20" s="27"/>
      <c r="AF20" s="27" t="s">
        <v>34</v>
      </c>
      <c r="AG20" s="28"/>
      <c r="AH20" s="27"/>
      <c r="AI20" s="27"/>
      <c r="AJ20" s="27"/>
      <c r="AK20" s="27"/>
      <c r="AL20" s="28"/>
      <c r="AM20" s="28"/>
      <c r="AN20" s="29"/>
      <c r="AO20" s="4" t="str">
        <f aca="false">IFERROR(INDEX(Playbook!$C$4:$C$17,MATCH($AF20,Playbook!$A$4:$A$17,0)),"")</f>
        <v>Read the row: tier, segment, trigger, reason we lose them. Check contact coverage; if 0, enrich before anything else.</v>
      </c>
      <c r="AP20" s="23" t="str">
        <f aca="false">IFERROR(INDEX(Playbook!$D$4:$D$17,MATCH($AF20,Playbook!$A$4:$A$17,0)),"")</f>
        <v>—</v>
      </c>
      <c r="AQ20" s="4" t="str">
        <f aca="false">IFERROR(INDEX(Playbook!$E$4:$E$17,MATCH($AF20,Playbook!$A$4:$A$17,0)),"")</f>
        <v>Row read and a contact channel exists</v>
      </c>
      <c r="AR20" s="30" t="n">
        <f aca="false">IFERROR(INDEX(Playbook!$G$4:$G$17,MATCH($AF20,Playbook!$A$4:$A$17,0)),0)</f>
        <v>0</v>
      </c>
      <c r="AS20" s="31" t="n">
        <f aca="false">IFERROR(INDEX('Pricing &amp; Pilot'!$D$4:$D$6,MATCH($D20,'Pricing &amp; Pilot'!$A$4:$A$6,0)),0)</f>
        <v>6480</v>
      </c>
      <c r="AT20" s="31" t="n">
        <f aca="false">AS20*AR20</f>
        <v>0</v>
      </c>
      <c r="AU20" s="23" t="str">
        <f aca="true">IF(AL20="","",TODAY()-AL20)</f>
        <v/>
      </c>
      <c r="AV20" s="23" t="str">
        <f aca="true">IF(AM20="","",IF(AND(AM20&lt;TODAY(),$AF20&lt;&gt;"Customer",$AF20&lt;&gt;"Lost",$AF20&lt;&gt;"Not a fit"),"OVERDUE",""))</f>
        <v/>
      </c>
      <c r="AW20" s="23" t="str">
        <f aca="false">IF(AV20="OVERDUE","RED",IF($AF20="Not started","—",IF($AF20="Customer","GREEN",IF(OR($AF20="Lost",$AF20="Not a fit"),"CLOSED","AMBER"))))</f>
        <v>—</v>
      </c>
    </row>
    <row r="21" customFormat="false" ht="48" hidden="false" customHeight="true" outlineLevel="0" collapsed="false">
      <c r="A21" s="23" t="n">
        <v>20</v>
      </c>
      <c r="B21" s="32" t="s">
        <v>215</v>
      </c>
      <c r="C21" s="23" t="str">
        <f aca="false">IF(OR(B21="A",B21="B"),"Yes","No")</f>
        <v>Yes</v>
      </c>
      <c r="D21" s="23" t="s">
        <v>127</v>
      </c>
      <c r="E21" s="23" t="s">
        <v>285</v>
      </c>
      <c r="F21" s="23" t="s">
        <v>286</v>
      </c>
      <c r="G21" s="23"/>
      <c r="H21" s="23" t="s">
        <v>131</v>
      </c>
      <c r="I21" s="4" t="s">
        <v>132</v>
      </c>
      <c r="J21" s="23" t="s">
        <v>133</v>
      </c>
      <c r="K21" s="23" t="s">
        <v>287</v>
      </c>
      <c r="L21" s="23" t="s">
        <v>134</v>
      </c>
      <c r="M21" s="25" t="n">
        <v>63.6</v>
      </c>
      <c r="N21" s="23" t="s">
        <v>135</v>
      </c>
      <c r="O21" s="23" t="s">
        <v>136</v>
      </c>
      <c r="P21" s="4" t="s">
        <v>137</v>
      </c>
      <c r="Q21" s="4" t="s">
        <v>155</v>
      </c>
      <c r="R21" s="4" t="s">
        <v>139</v>
      </c>
      <c r="S21" s="4"/>
      <c r="T21" s="4"/>
      <c r="U21" s="4" t="s">
        <v>222</v>
      </c>
      <c r="V21" s="23"/>
      <c r="W21" s="23"/>
      <c r="X21" s="23"/>
      <c r="Y21" s="23"/>
      <c r="Z21" s="23"/>
      <c r="AA21" s="23"/>
      <c r="AB21" s="23"/>
      <c r="AC21" s="4" t="s">
        <v>288</v>
      </c>
      <c r="AD21" s="26" t="n">
        <f aca="false">COUNTA(V21:AA21)</f>
        <v>0</v>
      </c>
      <c r="AE21" s="27"/>
      <c r="AF21" s="27" t="s">
        <v>34</v>
      </c>
      <c r="AG21" s="28"/>
      <c r="AH21" s="27"/>
      <c r="AI21" s="27"/>
      <c r="AJ21" s="27"/>
      <c r="AK21" s="27"/>
      <c r="AL21" s="28"/>
      <c r="AM21" s="28"/>
      <c r="AN21" s="29"/>
      <c r="AO21" s="4" t="str">
        <f aca="false">IFERROR(INDEX(Playbook!$C$4:$C$17,MATCH($AF21,Playbook!$A$4:$A$17,0)),"")</f>
        <v>Read the row: tier, segment, trigger, reason we lose them. Check contact coverage; if 0, enrich before anything else.</v>
      </c>
      <c r="AP21" s="23" t="str">
        <f aca="false">IFERROR(INDEX(Playbook!$D$4:$D$17,MATCH($AF21,Playbook!$A$4:$A$17,0)),"")</f>
        <v>—</v>
      </c>
      <c r="AQ21" s="4" t="str">
        <f aca="false">IFERROR(INDEX(Playbook!$E$4:$E$17,MATCH($AF21,Playbook!$A$4:$A$17,0)),"")</f>
        <v>Row read and a contact channel exists</v>
      </c>
      <c r="AR21" s="30" t="n">
        <f aca="false">IFERROR(INDEX(Playbook!$G$4:$G$17,MATCH($AF21,Playbook!$A$4:$A$17,0)),0)</f>
        <v>0</v>
      </c>
      <c r="AS21" s="31" t="n">
        <f aca="false">IFERROR(INDEX('Pricing &amp; Pilot'!$D$4:$D$6,MATCH($D21,'Pricing &amp; Pilot'!$A$4:$A$6,0)),0)</f>
        <v>3600</v>
      </c>
      <c r="AT21" s="31" t="n">
        <f aca="false">AS21*AR21</f>
        <v>0</v>
      </c>
      <c r="AU21" s="23" t="str">
        <f aca="true">IF(AL21="","",TODAY()-AL21)</f>
        <v/>
      </c>
      <c r="AV21" s="23" t="str">
        <f aca="true">IF(AM21="","",IF(AND(AM21&lt;TODAY(),$AF21&lt;&gt;"Customer",$AF21&lt;&gt;"Lost",$AF21&lt;&gt;"Not a fit"),"OVERDUE",""))</f>
        <v/>
      </c>
      <c r="AW21" s="23" t="str">
        <f aca="false">IF(AV21="OVERDUE","RED",IF($AF21="Not started","—",IF($AF21="Customer","GREEN",IF(OR($AF21="Lost",$AF21="Not a fit"),"CLOSED","AMBER"))))</f>
        <v>—</v>
      </c>
    </row>
    <row r="22" customFormat="false" ht="48" hidden="false" customHeight="true" outlineLevel="0" collapsed="false">
      <c r="A22" s="23" t="n">
        <v>21</v>
      </c>
      <c r="B22" s="32" t="s">
        <v>215</v>
      </c>
      <c r="C22" s="23" t="str">
        <f aca="false">IF(OR(B22="A",B22="B"),"Yes","No")</f>
        <v>Yes</v>
      </c>
      <c r="D22" s="23" t="s">
        <v>147</v>
      </c>
      <c r="E22" s="23" t="s">
        <v>289</v>
      </c>
      <c r="F22" s="23" t="s">
        <v>290</v>
      </c>
      <c r="G22" s="23" t="s">
        <v>291</v>
      </c>
      <c r="H22" s="23" t="s">
        <v>164</v>
      </c>
      <c r="I22" s="4" t="s">
        <v>165</v>
      </c>
      <c r="J22" s="23" t="s">
        <v>133</v>
      </c>
      <c r="K22" s="23" t="s">
        <v>292</v>
      </c>
      <c r="L22" s="23" t="s">
        <v>134</v>
      </c>
      <c r="M22" s="25" t="n">
        <v>63.6</v>
      </c>
      <c r="N22" s="23" t="s">
        <v>135</v>
      </c>
      <c r="O22" s="23" t="s">
        <v>136</v>
      </c>
      <c r="P22" s="4" t="s">
        <v>154</v>
      </c>
      <c r="Q22" s="4" t="s">
        <v>155</v>
      </c>
      <c r="R22" s="4" t="s">
        <v>167</v>
      </c>
      <c r="S22" s="4"/>
      <c r="T22" s="4"/>
      <c r="U22" s="4" t="s">
        <v>222</v>
      </c>
      <c r="V22" s="23"/>
      <c r="W22" s="23"/>
      <c r="X22" s="23"/>
      <c r="Y22" s="23"/>
      <c r="Z22" s="23"/>
      <c r="AA22" s="23"/>
      <c r="AB22" s="23"/>
      <c r="AC22" s="4" t="s">
        <v>293</v>
      </c>
      <c r="AD22" s="26" t="n">
        <f aca="false">COUNTA(V22:AA22)</f>
        <v>0</v>
      </c>
      <c r="AE22" s="27"/>
      <c r="AF22" s="27" t="s">
        <v>34</v>
      </c>
      <c r="AG22" s="28"/>
      <c r="AH22" s="27"/>
      <c r="AI22" s="27"/>
      <c r="AJ22" s="27"/>
      <c r="AK22" s="27"/>
      <c r="AL22" s="28"/>
      <c r="AM22" s="28"/>
      <c r="AN22" s="29"/>
      <c r="AO22" s="4" t="str">
        <f aca="false">IFERROR(INDEX(Playbook!$C$4:$C$17,MATCH($AF22,Playbook!$A$4:$A$17,0)),"")</f>
        <v>Read the row: tier, segment, trigger, reason we lose them. Check contact coverage; if 0, enrich before anything else.</v>
      </c>
      <c r="AP22" s="23" t="str">
        <f aca="false">IFERROR(INDEX(Playbook!$D$4:$D$17,MATCH($AF22,Playbook!$A$4:$A$17,0)),"")</f>
        <v>—</v>
      </c>
      <c r="AQ22" s="4" t="str">
        <f aca="false">IFERROR(INDEX(Playbook!$E$4:$E$17,MATCH($AF22,Playbook!$A$4:$A$17,0)),"")</f>
        <v>Row read and a contact channel exists</v>
      </c>
      <c r="AR22" s="30" t="n">
        <f aca="false">IFERROR(INDEX(Playbook!$G$4:$G$17,MATCH($AF22,Playbook!$A$4:$A$17,0)),0)</f>
        <v>0</v>
      </c>
      <c r="AS22" s="31" t="n">
        <f aca="false">IFERROR(INDEX('Pricing &amp; Pilot'!$D$4:$D$6,MATCH($D22,'Pricing &amp; Pilot'!$A$4:$A$6,0)),0)</f>
        <v>6480</v>
      </c>
      <c r="AT22" s="31" t="n">
        <f aca="false">AS22*AR22</f>
        <v>0</v>
      </c>
      <c r="AU22" s="23" t="str">
        <f aca="true">IF(AL22="","",TODAY()-AL22)</f>
        <v/>
      </c>
      <c r="AV22" s="23" t="str">
        <f aca="true">IF(AM22="","",IF(AND(AM22&lt;TODAY(),$AF22&lt;&gt;"Customer",$AF22&lt;&gt;"Lost",$AF22&lt;&gt;"Not a fit"),"OVERDUE",""))</f>
        <v/>
      </c>
      <c r="AW22" s="23" t="str">
        <f aca="false">IF(AV22="OVERDUE","RED",IF($AF22="Not started","—",IF($AF22="Customer","GREEN",IF(OR($AF22="Lost",$AF22="Not a fit"),"CLOSED","AMBER"))))</f>
        <v>—</v>
      </c>
    </row>
    <row r="23" customFormat="false" ht="48" hidden="false" customHeight="true" outlineLevel="0" collapsed="false">
      <c r="A23" s="23" t="n">
        <v>22</v>
      </c>
      <c r="B23" s="32" t="s">
        <v>215</v>
      </c>
      <c r="C23" s="23" t="str">
        <f aca="false">IF(OR(B23="A",B23="B"),"Yes","No")</f>
        <v>Yes</v>
      </c>
      <c r="D23" s="23" t="s">
        <v>147</v>
      </c>
      <c r="E23" s="23" t="s">
        <v>294</v>
      </c>
      <c r="F23" s="23" t="s">
        <v>295</v>
      </c>
      <c r="G23" s="23" t="s">
        <v>296</v>
      </c>
      <c r="H23" s="23" t="s">
        <v>151</v>
      </c>
      <c r="I23" s="4" t="s">
        <v>152</v>
      </c>
      <c r="J23" s="23" t="s">
        <v>133</v>
      </c>
      <c r="K23" s="23" t="s">
        <v>292</v>
      </c>
      <c r="L23" s="23" t="s">
        <v>134</v>
      </c>
      <c r="M23" s="25" t="n">
        <v>63.6</v>
      </c>
      <c r="N23" s="23" t="s">
        <v>135</v>
      </c>
      <c r="O23" s="23" t="s">
        <v>136</v>
      </c>
      <c r="P23" s="4" t="s">
        <v>154</v>
      </c>
      <c r="Q23" s="4" t="s">
        <v>155</v>
      </c>
      <c r="R23" s="4" t="s">
        <v>156</v>
      </c>
      <c r="S23" s="4"/>
      <c r="T23" s="4"/>
      <c r="U23" s="4" t="s">
        <v>222</v>
      </c>
      <c r="V23" s="23"/>
      <c r="W23" s="23"/>
      <c r="X23" s="23"/>
      <c r="Y23" s="23"/>
      <c r="Z23" s="23"/>
      <c r="AA23" s="23"/>
      <c r="AB23" s="23"/>
      <c r="AC23" s="4" t="s">
        <v>297</v>
      </c>
      <c r="AD23" s="26" t="n">
        <f aca="false">COUNTA(V23:AA23)</f>
        <v>0</v>
      </c>
      <c r="AE23" s="27"/>
      <c r="AF23" s="27" t="s">
        <v>34</v>
      </c>
      <c r="AG23" s="28"/>
      <c r="AH23" s="27"/>
      <c r="AI23" s="27"/>
      <c r="AJ23" s="27"/>
      <c r="AK23" s="27"/>
      <c r="AL23" s="28"/>
      <c r="AM23" s="28"/>
      <c r="AN23" s="29"/>
      <c r="AO23" s="4" t="str">
        <f aca="false">IFERROR(INDEX(Playbook!$C$4:$C$17,MATCH($AF23,Playbook!$A$4:$A$17,0)),"")</f>
        <v>Read the row: tier, segment, trigger, reason we lose them. Check contact coverage; if 0, enrich before anything else.</v>
      </c>
      <c r="AP23" s="23" t="str">
        <f aca="false">IFERROR(INDEX(Playbook!$D$4:$D$17,MATCH($AF23,Playbook!$A$4:$A$17,0)),"")</f>
        <v>—</v>
      </c>
      <c r="AQ23" s="4" t="str">
        <f aca="false">IFERROR(INDEX(Playbook!$E$4:$E$17,MATCH($AF23,Playbook!$A$4:$A$17,0)),"")</f>
        <v>Row read and a contact channel exists</v>
      </c>
      <c r="AR23" s="30" t="n">
        <f aca="false">IFERROR(INDEX(Playbook!$G$4:$G$17,MATCH($AF23,Playbook!$A$4:$A$17,0)),0)</f>
        <v>0</v>
      </c>
      <c r="AS23" s="31" t="n">
        <f aca="false">IFERROR(INDEX('Pricing &amp; Pilot'!$D$4:$D$6,MATCH($D23,'Pricing &amp; Pilot'!$A$4:$A$6,0)),0)</f>
        <v>6480</v>
      </c>
      <c r="AT23" s="31" t="n">
        <f aca="false">AS23*AR23</f>
        <v>0</v>
      </c>
      <c r="AU23" s="23" t="str">
        <f aca="true">IF(AL23="","",TODAY()-AL23)</f>
        <v/>
      </c>
      <c r="AV23" s="23" t="str">
        <f aca="true">IF(AM23="","",IF(AND(AM23&lt;TODAY(),$AF23&lt;&gt;"Customer",$AF23&lt;&gt;"Lost",$AF23&lt;&gt;"Not a fit"),"OVERDUE",""))</f>
        <v/>
      </c>
      <c r="AW23" s="23" t="str">
        <f aca="false">IF(AV23="OVERDUE","RED",IF($AF23="Not started","—",IF($AF23="Customer","GREEN",IF(OR($AF23="Lost",$AF23="Not a fit"),"CLOSED","AMBER"))))</f>
        <v>—</v>
      </c>
    </row>
    <row r="24" customFormat="false" ht="48" hidden="false" customHeight="true" outlineLevel="0" collapsed="false">
      <c r="A24" s="23" t="n">
        <v>23</v>
      </c>
      <c r="B24" s="32" t="s">
        <v>215</v>
      </c>
      <c r="C24" s="23" t="str">
        <f aca="false">IF(OR(B24="A",B24="B"),"Yes","No")</f>
        <v>Yes</v>
      </c>
      <c r="D24" s="23" t="s">
        <v>127</v>
      </c>
      <c r="E24" s="23" t="s">
        <v>298</v>
      </c>
      <c r="F24" s="23" t="s">
        <v>299</v>
      </c>
      <c r="G24" s="23"/>
      <c r="H24" s="23" t="s">
        <v>300</v>
      </c>
      <c r="I24" s="4" t="s">
        <v>219</v>
      </c>
      <c r="J24" s="23" t="s">
        <v>133</v>
      </c>
      <c r="K24" s="23" t="s">
        <v>265</v>
      </c>
      <c r="L24" s="23" t="s">
        <v>134</v>
      </c>
      <c r="M24" s="25" t="n">
        <v>63.6</v>
      </c>
      <c r="N24" s="23" t="s">
        <v>135</v>
      </c>
      <c r="O24" s="23" t="s">
        <v>136</v>
      </c>
      <c r="P24" s="4" t="s">
        <v>137</v>
      </c>
      <c r="Q24" s="4" t="s">
        <v>155</v>
      </c>
      <c r="R24" s="4" t="s">
        <v>301</v>
      </c>
      <c r="S24" s="4"/>
      <c r="T24" s="4"/>
      <c r="U24" s="4" t="s">
        <v>222</v>
      </c>
      <c r="V24" s="23" t="s">
        <v>302</v>
      </c>
      <c r="W24" s="23"/>
      <c r="X24" s="23"/>
      <c r="Y24" s="23"/>
      <c r="Z24" s="23"/>
      <c r="AA24" s="23"/>
      <c r="AB24" s="23"/>
      <c r="AC24" s="4" t="s">
        <v>303</v>
      </c>
      <c r="AD24" s="26" t="n">
        <f aca="false">COUNTA(V24:AA24)</f>
        <v>1</v>
      </c>
      <c r="AE24" s="27"/>
      <c r="AF24" s="27" t="s">
        <v>34</v>
      </c>
      <c r="AG24" s="28"/>
      <c r="AH24" s="27"/>
      <c r="AI24" s="27"/>
      <c r="AJ24" s="27"/>
      <c r="AK24" s="27"/>
      <c r="AL24" s="28"/>
      <c r="AM24" s="28"/>
      <c r="AN24" s="29"/>
      <c r="AO24" s="4" t="str">
        <f aca="false">IFERROR(INDEX(Playbook!$C$4:$C$17,MATCH($AF24,Playbook!$A$4:$A$17,0)),"")</f>
        <v>Read the row: tier, segment, trigger, reason we lose them. Check contact coverage; if 0, enrich before anything else.</v>
      </c>
      <c r="AP24" s="23" t="str">
        <f aca="false">IFERROR(INDEX(Playbook!$D$4:$D$17,MATCH($AF24,Playbook!$A$4:$A$17,0)),"")</f>
        <v>—</v>
      </c>
      <c r="AQ24" s="4" t="str">
        <f aca="false">IFERROR(INDEX(Playbook!$E$4:$E$17,MATCH($AF24,Playbook!$A$4:$A$17,0)),"")</f>
        <v>Row read and a contact channel exists</v>
      </c>
      <c r="AR24" s="30" t="n">
        <f aca="false">IFERROR(INDEX(Playbook!$G$4:$G$17,MATCH($AF24,Playbook!$A$4:$A$17,0)),0)</f>
        <v>0</v>
      </c>
      <c r="AS24" s="31" t="n">
        <f aca="false">IFERROR(INDEX('Pricing &amp; Pilot'!$D$4:$D$6,MATCH($D24,'Pricing &amp; Pilot'!$A$4:$A$6,0)),0)</f>
        <v>3600</v>
      </c>
      <c r="AT24" s="31" t="n">
        <f aca="false">AS24*AR24</f>
        <v>0</v>
      </c>
      <c r="AU24" s="23" t="str">
        <f aca="true">IF(AL24="","",TODAY()-AL24)</f>
        <v/>
      </c>
      <c r="AV24" s="23" t="str">
        <f aca="true">IF(AM24="","",IF(AND(AM24&lt;TODAY(),$AF24&lt;&gt;"Customer",$AF24&lt;&gt;"Lost",$AF24&lt;&gt;"Not a fit"),"OVERDUE",""))</f>
        <v/>
      </c>
      <c r="AW24" s="23" t="str">
        <f aca="false">IF(AV24="OVERDUE","RED",IF($AF24="Not started","—",IF($AF24="Customer","GREEN",IF(OR($AF24="Lost",$AF24="Not a fit"),"CLOSED","AMBER"))))</f>
        <v>—</v>
      </c>
    </row>
    <row r="25" customFormat="false" ht="48" hidden="false" customHeight="true" outlineLevel="0" collapsed="false">
      <c r="A25" s="23" t="n">
        <v>24</v>
      </c>
      <c r="B25" s="32" t="s">
        <v>215</v>
      </c>
      <c r="C25" s="23" t="str">
        <f aca="false">IF(OR(B25="A",B25="B"),"Yes","No")</f>
        <v>Yes</v>
      </c>
      <c r="D25" s="23" t="s">
        <v>127</v>
      </c>
      <c r="E25" s="23" t="s">
        <v>304</v>
      </c>
      <c r="F25" s="23" t="s">
        <v>305</v>
      </c>
      <c r="G25" s="23"/>
      <c r="H25" s="23" t="s">
        <v>131</v>
      </c>
      <c r="I25" s="4" t="s">
        <v>132</v>
      </c>
      <c r="J25" s="23" t="s">
        <v>133</v>
      </c>
      <c r="K25" s="23" t="s">
        <v>134</v>
      </c>
      <c r="L25" s="23" t="s">
        <v>134</v>
      </c>
      <c r="M25" s="25" t="n">
        <v>63.6</v>
      </c>
      <c r="N25" s="23" t="s">
        <v>135</v>
      </c>
      <c r="O25" s="23" t="s">
        <v>136</v>
      </c>
      <c r="P25" s="4" t="s">
        <v>137</v>
      </c>
      <c r="Q25" s="4" t="s">
        <v>155</v>
      </c>
      <c r="R25" s="4" t="s">
        <v>139</v>
      </c>
      <c r="S25" s="4"/>
      <c r="T25" s="4"/>
      <c r="U25" s="4" t="s">
        <v>222</v>
      </c>
      <c r="V25" s="23" t="s">
        <v>306</v>
      </c>
      <c r="W25" s="23"/>
      <c r="X25" s="23"/>
      <c r="Y25" s="23"/>
      <c r="Z25" s="23"/>
      <c r="AA25" s="23"/>
      <c r="AB25" s="23"/>
      <c r="AC25" s="4" t="s">
        <v>307</v>
      </c>
      <c r="AD25" s="26" t="n">
        <f aca="false">COUNTA(V25:AA25)</f>
        <v>1</v>
      </c>
      <c r="AE25" s="27"/>
      <c r="AF25" s="27" t="s">
        <v>34</v>
      </c>
      <c r="AG25" s="28"/>
      <c r="AH25" s="27"/>
      <c r="AI25" s="27"/>
      <c r="AJ25" s="27"/>
      <c r="AK25" s="27"/>
      <c r="AL25" s="28"/>
      <c r="AM25" s="28"/>
      <c r="AN25" s="29"/>
      <c r="AO25" s="4" t="str">
        <f aca="false">IFERROR(INDEX(Playbook!$C$4:$C$17,MATCH($AF25,Playbook!$A$4:$A$17,0)),"")</f>
        <v>Read the row: tier, segment, trigger, reason we lose them. Check contact coverage; if 0, enrich before anything else.</v>
      </c>
      <c r="AP25" s="23" t="str">
        <f aca="false">IFERROR(INDEX(Playbook!$D$4:$D$17,MATCH($AF25,Playbook!$A$4:$A$17,0)),"")</f>
        <v>—</v>
      </c>
      <c r="AQ25" s="4" t="str">
        <f aca="false">IFERROR(INDEX(Playbook!$E$4:$E$17,MATCH($AF25,Playbook!$A$4:$A$17,0)),"")</f>
        <v>Row read and a contact channel exists</v>
      </c>
      <c r="AR25" s="30" t="n">
        <f aca="false">IFERROR(INDEX(Playbook!$G$4:$G$17,MATCH($AF25,Playbook!$A$4:$A$17,0)),0)</f>
        <v>0</v>
      </c>
      <c r="AS25" s="31" t="n">
        <f aca="false">IFERROR(INDEX('Pricing &amp; Pilot'!$D$4:$D$6,MATCH($D25,'Pricing &amp; Pilot'!$A$4:$A$6,0)),0)</f>
        <v>3600</v>
      </c>
      <c r="AT25" s="31" t="n">
        <f aca="false">AS25*AR25</f>
        <v>0</v>
      </c>
      <c r="AU25" s="23" t="str">
        <f aca="true">IF(AL25="","",TODAY()-AL25)</f>
        <v/>
      </c>
      <c r="AV25" s="23" t="str">
        <f aca="true">IF(AM25="","",IF(AND(AM25&lt;TODAY(),$AF25&lt;&gt;"Customer",$AF25&lt;&gt;"Lost",$AF25&lt;&gt;"Not a fit"),"OVERDUE",""))</f>
        <v/>
      </c>
      <c r="AW25" s="23" t="str">
        <f aca="false">IF(AV25="OVERDUE","RED",IF($AF25="Not started","—",IF($AF25="Customer","GREEN",IF(OR($AF25="Lost",$AF25="Not a fit"),"CLOSED","AMBER"))))</f>
        <v>—</v>
      </c>
    </row>
    <row r="26" customFormat="false" ht="48" hidden="false" customHeight="true" outlineLevel="0" collapsed="false">
      <c r="A26" s="23" t="n">
        <v>25</v>
      </c>
      <c r="B26" s="32" t="s">
        <v>215</v>
      </c>
      <c r="C26" s="23" t="str">
        <f aca="false">IF(OR(B26="A",B26="B"),"Yes","No")</f>
        <v>Yes</v>
      </c>
      <c r="D26" s="23" t="s">
        <v>147</v>
      </c>
      <c r="E26" s="23" t="s">
        <v>308</v>
      </c>
      <c r="F26" s="23" t="s">
        <v>309</v>
      </c>
      <c r="G26" s="23" t="s">
        <v>310</v>
      </c>
      <c r="H26" s="23" t="s">
        <v>151</v>
      </c>
      <c r="I26" s="4" t="s">
        <v>152</v>
      </c>
      <c r="J26" s="23" t="s">
        <v>133</v>
      </c>
      <c r="K26" s="23" t="s">
        <v>200</v>
      </c>
      <c r="L26" s="23" t="s">
        <v>134</v>
      </c>
      <c r="M26" s="25" t="n">
        <v>63.6</v>
      </c>
      <c r="N26" s="23" t="s">
        <v>135</v>
      </c>
      <c r="O26" s="23" t="s">
        <v>136</v>
      </c>
      <c r="P26" s="4" t="s">
        <v>154</v>
      </c>
      <c r="Q26" s="4" t="s">
        <v>155</v>
      </c>
      <c r="R26" s="4" t="s">
        <v>156</v>
      </c>
      <c r="S26" s="4"/>
      <c r="T26" s="4"/>
      <c r="U26" s="4" t="s">
        <v>222</v>
      </c>
      <c r="V26" s="23"/>
      <c r="W26" s="23"/>
      <c r="X26" s="23"/>
      <c r="Y26" s="23"/>
      <c r="Z26" s="23"/>
      <c r="AA26" s="23"/>
      <c r="AB26" s="23"/>
      <c r="AC26" s="4" t="s">
        <v>311</v>
      </c>
      <c r="AD26" s="26" t="n">
        <f aca="false">COUNTA(V26:AA26)</f>
        <v>0</v>
      </c>
      <c r="AE26" s="27"/>
      <c r="AF26" s="27" t="s">
        <v>34</v>
      </c>
      <c r="AG26" s="28"/>
      <c r="AH26" s="27"/>
      <c r="AI26" s="27"/>
      <c r="AJ26" s="27"/>
      <c r="AK26" s="27"/>
      <c r="AL26" s="28"/>
      <c r="AM26" s="28"/>
      <c r="AN26" s="29"/>
      <c r="AO26" s="4" t="str">
        <f aca="false">IFERROR(INDEX(Playbook!$C$4:$C$17,MATCH($AF26,Playbook!$A$4:$A$17,0)),"")</f>
        <v>Read the row: tier, segment, trigger, reason we lose them. Check contact coverage; if 0, enrich before anything else.</v>
      </c>
      <c r="AP26" s="23" t="str">
        <f aca="false">IFERROR(INDEX(Playbook!$D$4:$D$17,MATCH($AF26,Playbook!$A$4:$A$17,0)),"")</f>
        <v>—</v>
      </c>
      <c r="AQ26" s="4" t="str">
        <f aca="false">IFERROR(INDEX(Playbook!$E$4:$E$17,MATCH($AF26,Playbook!$A$4:$A$17,0)),"")</f>
        <v>Row read and a contact channel exists</v>
      </c>
      <c r="AR26" s="30" t="n">
        <f aca="false">IFERROR(INDEX(Playbook!$G$4:$G$17,MATCH($AF26,Playbook!$A$4:$A$17,0)),0)</f>
        <v>0</v>
      </c>
      <c r="AS26" s="31" t="n">
        <f aca="false">IFERROR(INDEX('Pricing &amp; Pilot'!$D$4:$D$6,MATCH($D26,'Pricing &amp; Pilot'!$A$4:$A$6,0)),0)</f>
        <v>6480</v>
      </c>
      <c r="AT26" s="31" t="n">
        <f aca="false">AS26*AR26</f>
        <v>0</v>
      </c>
      <c r="AU26" s="23" t="str">
        <f aca="true">IF(AL26="","",TODAY()-AL26)</f>
        <v/>
      </c>
      <c r="AV26" s="23" t="str">
        <f aca="true">IF(AM26="","",IF(AND(AM26&lt;TODAY(),$AF26&lt;&gt;"Customer",$AF26&lt;&gt;"Lost",$AF26&lt;&gt;"Not a fit"),"OVERDUE",""))</f>
        <v/>
      </c>
      <c r="AW26" s="23" t="str">
        <f aca="false">IF(AV26="OVERDUE","RED",IF($AF26="Not started","—",IF($AF26="Customer","GREEN",IF(OR($AF26="Lost",$AF26="Not a fit"),"CLOSED","AMBER"))))</f>
        <v>—</v>
      </c>
    </row>
    <row r="27" customFormat="false" ht="48" hidden="false" customHeight="true" outlineLevel="0" collapsed="false">
      <c r="A27" s="23" t="n">
        <v>26</v>
      </c>
      <c r="B27" s="32" t="s">
        <v>215</v>
      </c>
      <c r="C27" s="23" t="str">
        <f aca="false">IF(OR(B27="A",B27="B"),"Yes","No")</f>
        <v>Yes</v>
      </c>
      <c r="D27" s="23" t="s">
        <v>127</v>
      </c>
      <c r="E27" s="23" t="s">
        <v>312</v>
      </c>
      <c r="F27" s="23" t="s">
        <v>313</v>
      </c>
      <c r="G27" s="23"/>
      <c r="H27" s="23" t="s">
        <v>314</v>
      </c>
      <c r="I27" s="4" t="s">
        <v>315</v>
      </c>
      <c r="J27" s="23" t="s">
        <v>133</v>
      </c>
      <c r="K27" s="23" t="s">
        <v>134</v>
      </c>
      <c r="L27" s="23" t="s">
        <v>134</v>
      </c>
      <c r="M27" s="25" t="n">
        <v>63.6</v>
      </c>
      <c r="N27" s="23" t="s">
        <v>135</v>
      </c>
      <c r="O27" s="23" t="s">
        <v>136</v>
      </c>
      <c r="P27" s="4" t="s">
        <v>137</v>
      </c>
      <c r="Q27" s="4" t="s">
        <v>155</v>
      </c>
      <c r="R27" s="4" t="s">
        <v>316</v>
      </c>
      <c r="S27" s="4"/>
      <c r="T27" s="4"/>
      <c r="U27" s="4" t="s">
        <v>222</v>
      </c>
      <c r="V27" s="23"/>
      <c r="W27" s="23"/>
      <c r="X27" s="23"/>
      <c r="Y27" s="23"/>
      <c r="Z27" s="23"/>
      <c r="AA27" s="23"/>
      <c r="AB27" s="23"/>
      <c r="AC27" s="4" t="s">
        <v>317</v>
      </c>
      <c r="AD27" s="26" t="n">
        <f aca="false">COUNTA(V27:AA27)</f>
        <v>0</v>
      </c>
      <c r="AE27" s="27"/>
      <c r="AF27" s="27" t="s">
        <v>34</v>
      </c>
      <c r="AG27" s="28"/>
      <c r="AH27" s="27"/>
      <c r="AI27" s="27"/>
      <c r="AJ27" s="27"/>
      <c r="AK27" s="27"/>
      <c r="AL27" s="28"/>
      <c r="AM27" s="28"/>
      <c r="AN27" s="29"/>
      <c r="AO27" s="4" t="str">
        <f aca="false">IFERROR(INDEX(Playbook!$C$4:$C$17,MATCH($AF27,Playbook!$A$4:$A$17,0)),"")</f>
        <v>Read the row: tier, segment, trigger, reason we lose them. Check contact coverage; if 0, enrich before anything else.</v>
      </c>
      <c r="AP27" s="23" t="str">
        <f aca="false">IFERROR(INDEX(Playbook!$D$4:$D$17,MATCH($AF27,Playbook!$A$4:$A$17,0)),"")</f>
        <v>—</v>
      </c>
      <c r="AQ27" s="4" t="str">
        <f aca="false">IFERROR(INDEX(Playbook!$E$4:$E$17,MATCH($AF27,Playbook!$A$4:$A$17,0)),"")</f>
        <v>Row read and a contact channel exists</v>
      </c>
      <c r="AR27" s="30" t="n">
        <f aca="false">IFERROR(INDEX(Playbook!$G$4:$G$17,MATCH($AF27,Playbook!$A$4:$A$17,0)),0)</f>
        <v>0</v>
      </c>
      <c r="AS27" s="31" t="n">
        <f aca="false">IFERROR(INDEX('Pricing &amp; Pilot'!$D$4:$D$6,MATCH($D27,'Pricing &amp; Pilot'!$A$4:$A$6,0)),0)</f>
        <v>3600</v>
      </c>
      <c r="AT27" s="31" t="n">
        <f aca="false">AS27*AR27</f>
        <v>0</v>
      </c>
      <c r="AU27" s="23" t="str">
        <f aca="true">IF(AL27="","",TODAY()-AL27)</f>
        <v/>
      </c>
      <c r="AV27" s="23" t="str">
        <f aca="true">IF(AM27="","",IF(AND(AM27&lt;TODAY(),$AF27&lt;&gt;"Customer",$AF27&lt;&gt;"Lost",$AF27&lt;&gt;"Not a fit"),"OVERDUE",""))</f>
        <v/>
      </c>
      <c r="AW27" s="23" t="str">
        <f aca="false">IF(AV27="OVERDUE","RED",IF($AF27="Not started","—",IF($AF27="Customer","GREEN",IF(OR($AF27="Lost",$AF27="Not a fit"),"CLOSED","AMBER"))))</f>
        <v>—</v>
      </c>
    </row>
    <row r="28" customFormat="false" ht="48" hidden="false" customHeight="true" outlineLevel="0" collapsed="false">
      <c r="A28" s="23" t="n">
        <v>27</v>
      </c>
      <c r="B28" s="32" t="s">
        <v>215</v>
      </c>
      <c r="C28" s="23" t="str">
        <f aca="false">IF(OR(B28="A",B28="B"),"Yes","No")</f>
        <v>Yes</v>
      </c>
      <c r="D28" s="23" t="s">
        <v>127</v>
      </c>
      <c r="E28" s="23" t="s">
        <v>318</v>
      </c>
      <c r="F28" s="23" t="s">
        <v>319</v>
      </c>
      <c r="G28" s="23"/>
      <c r="H28" s="23" t="s">
        <v>131</v>
      </c>
      <c r="I28" s="4" t="s">
        <v>132</v>
      </c>
      <c r="J28" s="23" t="s">
        <v>133</v>
      </c>
      <c r="K28" s="23" t="s">
        <v>261</v>
      </c>
      <c r="L28" s="23" t="s">
        <v>134</v>
      </c>
      <c r="M28" s="25" t="n">
        <v>63.6</v>
      </c>
      <c r="N28" s="23" t="s">
        <v>135</v>
      </c>
      <c r="O28" s="23" t="s">
        <v>136</v>
      </c>
      <c r="P28" s="4" t="s">
        <v>137</v>
      </c>
      <c r="Q28" s="4" t="s">
        <v>155</v>
      </c>
      <c r="R28" s="4" t="s">
        <v>139</v>
      </c>
      <c r="S28" s="4"/>
      <c r="T28" s="4"/>
      <c r="U28" s="4" t="s">
        <v>222</v>
      </c>
      <c r="V28" s="23"/>
      <c r="W28" s="23"/>
      <c r="X28" s="23"/>
      <c r="Y28" s="23"/>
      <c r="Z28" s="23"/>
      <c r="AA28" s="23"/>
      <c r="AB28" s="23"/>
      <c r="AC28" s="4" t="s">
        <v>320</v>
      </c>
      <c r="AD28" s="26" t="n">
        <f aca="false">COUNTA(V28:AA28)</f>
        <v>0</v>
      </c>
      <c r="AE28" s="27"/>
      <c r="AF28" s="27" t="s">
        <v>34</v>
      </c>
      <c r="AG28" s="28"/>
      <c r="AH28" s="27"/>
      <c r="AI28" s="27"/>
      <c r="AJ28" s="27"/>
      <c r="AK28" s="27"/>
      <c r="AL28" s="28"/>
      <c r="AM28" s="28"/>
      <c r="AN28" s="29"/>
      <c r="AO28" s="4" t="str">
        <f aca="false">IFERROR(INDEX(Playbook!$C$4:$C$17,MATCH($AF28,Playbook!$A$4:$A$17,0)),"")</f>
        <v>Read the row: tier, segment, trigger, reason we lose them. Check contact coverage; if 0, enrich before anything else.</v>
      </c>
      <c r="AP28" s="23" t="str">
        <f aca="false">IFERROR(INDEX(Playbook!$D$4:$D$17,MATCH($AF28,Playbook!$A$4:$A$17,0)),"")</f>
        <v>—</v>
      </c>
      <c r="AQ28" s="4" t="str">
        <f aca="false">IFERROR(INDEX(Playbook!$E$4:$E$17,MATCH($AF28,Playbook!$A$4:$A$17,0)),"")</f>
        <v>Row read and a contact channel exists</v>
      </c>
      <c r="AR28" s="30" t="n">
        <f aca="false">IFERROR(INDEX(Playbook!$G$4:$G$17,MATCH($AF28,Playbook!$A$4:$A$17,0)),0)</f>
        <v>0</v>
      </c>
      <c r="AS28" s="31" t="n">
        <f aca="false">IFERROR(INDEX('Pricing &amp; Pilot'!$D$4:$D$6,MATCH($D28,'Pricing &amp; Pilot'!$A$4:$A$6,0)),0)</f>
        <v>3600</v>
      </c>
      <c r="AT28" s="31" t="n">
        <f aca="false">AS28*AR28</f>
        <v>0</v>
      </c>
      <c r="AU28" s="23" t="str">
        <f aca="true">IF(AL28="","",TODAY()-AL28)</f>
        <v/>
      </c>
      <c r="AV28" s="23" t="str">
        <f aca="true">IF(AM28="","",IF(AND(AM28&lt;TODAY(),$AF28&lt;&gt;"Customer",$AF28&lt;&gt;"Lost",$AF28&lt;&gt;"Not a fit"),"OVERDUE",""))</f>
        <v/>
      </c>
      <c r="AW28" s="23" t="str">
        <f aca="false">IF(AV28="OVERDUE","RED",IF($AF28="Not started","—",IF($AF28="Customer","GREEN",IF(OR($AF28="Lost",$AF28="Not a fit"),"CLOSED","AMBER"))))</f>
        <v>—</v>
      </c>
    </row>
    <row r="29" customFormat="false" ht="48" hidden="false" customHeight="true" outlineLevel="0" collapsed="false">
      <c r="A29" s="23" t="n">
        <v>28</v>
      </c>
      <c r="B29" s="32" t="s">
        <v>215</v>
      </c>
      <c r="C29" s="23" t="str">
        <f aca="false">IF(OR(B29="A",B29="B"),"Yes","No")</f>
        <v>Yes</v>
      </c>
      <c r="D29" s="23" t="s">
        <v>147</v>
      </c>
      <c r="E29" s="23" t="s">
        <v>321</v>
      </c>
      <c r="F29" s="23" t="s">
        <v>322</v>
      </c>
      <c r="G29" s="23" t="s">
        <v>323</v>
      </c>
      <c r="H29" s="23" t="s">
        <v>151</v>
      </c>
      <c r="I29" s="4" t="s">
        <v>152</v>
      </c>
      <c r="J29" s="23" t="s">
        <v>133</v>
      </c>
      <c r="K29" s="23" t="s">
        <v>153</v>
      </c>
      <c r="L29" s="23" t="s">
        <v>134</v>
      </c>
      <c r="M29" s="25" t="n">
        <v>63.6</v>
      </c>
      <c r="N29" s="23" t="s">
        <v>135</v>
      </c>
      <c r="O29" s="23" t="s">
        <v>136</v>
      </c>
      <c r="P29" s="4" t="s">
        <v>154</v>
      </c>
      <c r="Q29" s="4" t="s">
        <v>155</v>
      </c>
      <c r="R29" s="4" t="s">
        <v>156</v>
      </c>
      <c r="S29" s="4"/>
      <c r="T29" s="4"/>
      <c r="U29" s="4" t="s">
        <v>222</v>
      </c>
      <c r="V29" s="23" t="s">
        <v>324</v>
      </c>
      <c r="W29" s="23" t="s">
        <v>325</v>
      </c>
      <c r="X29" s="23" t="s">
        <v>326</v>
      </c>
      <c r="Y29" s="23"/>
      <c r="Z29" s="23"/>
      <c r="AA29" s="23"/>
      <c r="AB29" s="23"/>
      <c r="AC29" s="4" t="s">
        <v>327</v>
      </c>
      <c r="AD29" s="26" t="n">
        <f aca="false">COUNTA(V29:AA29)</f>
        <v>3</v>
      </c>
      <c r="AE29" s="27"/>
      <c r="AF29" s="27" t="s">
        <v>34</v>
      </c>
      <c r="AG29" s="28"/>
      <c r="AH29" s="27"/>
      <c r="AI29" s="27"/>
      <c r="AJ29" s="27"/>
      <c r="AK29" s="27"/>
      <c r="AL29" s="28"/>
      <c r="AM29" s="28"/>
      <c r="AN29" s="29"/>
      <c r="AO29" s="4" t="str">
        <f aca="false">IFERROR(INDEX(Playbook!$C$4:$C$17,MATCH($AF29,Playbook!$A$4:$A$17,0)),"")</f>
        <v>Read the row: tier, segment, trigger, reason we lose them. Check contact coverage; if 0, enrich before anything else.</v>
      </c>
      <c r="AP29" s="23" t="str">
        <f aca="false">IFERROR(INDEX(Playbook!$D$4:$D$17,MATCH($AF29,Playbook!$A$4:$A$17,0)),"")</f>
        <v>—</v>
      </c>
      <c r="AQ29" s="4" t="str">
        <f aca="false">IFERROR(INDEX(Playbook!$E$4:$E$17,MATCH($AF29,Playbook!$A$4:$A$17,0)),"")</f>
        <v>Row read and a contact channel exists</v>
      </c>
      <c r="AR29" s="30" t="n">
        <f aca="false">IFERROR(INDEX(Playbook!$G$4:$G$17,MATCH($AF29,Playbook!$A$4:$A$17,0)),0)</f>
        <v>0</v>
      </c>
      <c r="AS29" s="31" t="n">
        <f aca="false">IFERROR(INDEX('Pricing &amp; Pilot'!$D$4:$D$6,MATCH($D29,'Pricing &amp; Pilot'!$A$4:$A$6,0)),0)</f>
        <v>6480</v>
      </c>
      <c r="AT29" s="31" t="n">
        <f aca="false">AS29*AR29</f>
        <v>0</v>
      </c>
      <c r="AU29" s="23" t="str">
        <f aca="true">IF(AL29="","",TODAY()-AL29)</f>
        <v/>
      </c>
      <c r="AV29" s="23" t="str">
        <f aca="true">IF(AM29="","",IF(AND(AM29&lt;TODAY(),$AF29&lt;&gt;"Customer",$AF29&lt;&gt;"Lost",$AF29&lt;&gt;"Not a fit"),"OVERDUE",""))</f>
        <v/>
      </c>
      <c r="AW29" s="23" t="str">
        <f aca="false">IF(AV29="OVERDUE","RED",IF($AF29="Not started","—",IF($AF29="Customer","GREEN",IF(OR($AF29="Lost",$AF29="Not a fit"),"CLOSED","AMBER"))))</f>
        <v>—</v>
      </c>
    </row>
    <row r="30" customFormat="false" ht="48" hidden="false" customHeight="true" outlineLevel="0" collapsed="false">
      <c r="A30" s="23" t="n">
        <v>29</v>
      </c>
      <c r="B30" s="32" t="s">
        <v>215</v>
      </c>
      <c r="C30" s="23" t="str">
        <f aca="false">IF(OR(B30="A",B30="B"),"Yes","No")</f>
        <v>Yes</v>
      </c>
      <c r="D30" s="23" t="s">
        <v>127</v>
      </c>
      <c r="E30" s="23" t="s">
        <v>328</v>
      </c>
      <c r="F30" s="23" t="s">
        <v>329</v>
      </c>
      <c r="G30" s="23"/>
      <c r="H30" s="23" t="s">
        <v>131</v>
      </c>
      <c r="I30" s="4" t="s">
        <v>132</v>
      </c>
      <c r="J30" s="23" t="s">
        <v>133</v>
      </c>
      <c r="K30" s="23" t="s">
        <v>330</v>
      </c>
      <c r="L30" s="23" t="s">
        <v>134</v>
      </c>
      <c r="M30" s="25" t="n">
        <v>63.6</v>
      </c>
      <c r="N30" s="23" t="s">
        <v>135</v>
      </c>
      <c r="O30" s="23" t="s">
        <v>136</v>
      </c>
      <c r="P30" s="4" t="s">
        <v>137</v>
      </c>
      <c r="Q30" s="4" t="s">
        <v>155</v>
      </c>
      <c r="R30" s="4" t="s">
        <v>139</v>
      </c>
      <c r="S30" s="4"/>
      <c r="T30" s="4"/>
      <c r="U30" s="4" t="s">
        <v>222</v>
      </c>
      <c r="V30" s="23"/>
      <c r="W30" s="23"/>
      <c r="X30" s="23"/>
      <c r="Y30" s="23"/>
      <c r="Z30" s="23"/>
      <c r="AA30" s="23"/>
      <c r="AB30" s="23"/>
      <c r="AC30" s="4" t="s">
        <v>331</v>
      </c>
      <c r="AD30" s="26" t="n">
        <f aca="false">COUNTA(V30:AA30)</f>
        <v>0</v>
      </c>
      <c r="AE30" s="27"/>
      <c r="AF30" s="27" t="s">
        <v>34</v>
      </c>
      <c r="AG30" s="28"/>
      <c r="AH30" s="27"/>
      <c r="AI30" s="27"/>
      <c r="AJ30" s="27"/>
      <c r="AK30" s="27"/>
      <c r="AL30" s="28"/>
      <c r="AM30" s="28"/>
      <c r="AN30" s="29"/>
      <c r="AO30" s="4" t="str">
        <f aca="false">IFERROR(INDEX(Playbook!$C$4:$C$17,MATCH($AF30,Playbook!$A$4:$A$17,0)),"")</f>
        <v>Read the row: tier, segment, trigger, reason we lose them. Check contact coverage; if 0, enrich before anything else.</v>
      </c>
      <c r="AP30" s="23" t="str">
        <f aca="false">IFERROR(INDEX(Playbook!$D$4:$D$17,MATCH($AF30,Playbook!$A$4:$A$17,0)),"")</f>
        <v>—</v>
      </c>
      <c r="AQ30" s="4" t="str">
        <f aca="false">IFERROR(INDEX(Playbook!$E$4:$E$17,MATCH($AF30,Playbook!$A$4:$A$17,0)),"")</f>
        <v>Row read and a contact channel exists</v>
      </c>
      <c r="AR30" s="30" t="n">
        <f aca="false">IFERROR(INDEX(Playbook!$G$4:$G$17,MATCH($AF30,Playbook!$A$4:$A$17,0)),0)</f>
        <v>0</v>
      </c>
      <c r="AS30" s="31" t="n">
        <f aca="false">IFERROR(INDEX('Pricing &amp; Pilot'!$D$4:$D$6,MATCH($D30,'Pricing &amp; Pilot'!$A$4:$A$6,0)),0)</f>
        <v>3600</v>
      </c>
      <c r="AT30" s="31" t="n">
        <f aca="false">AS30*AR30</f>
        <v>0</v>
      </c>
      <c r="AU30" s="23" t="str">
        <f aca="true">IF(AL30="","",TODAY()-AL30)</f>
        <v/>
      </c>
      <c r="AV30" s="23" t="str">
        <f aca="true">IF(AM30="","",IF(AND(AM30&lt;TODAY(),$AF30&lt;&gt;"Customer",$AF30&lt;&gt;"Lost",$AF30&lt;&gt;"Not a fit"),"OVERDUE",""))</f>
        <v/>
      </c>
      <c r="AW30" s="23" t="str">
        <f aca="false">IF(AV30="OVERDUE","RED",IF($AF30="Not started","—",IF($AF30="Customer","GREEN",IF(OR($AF30="Lost",$AF30="Not a fit"),"CLOSED","AMBER"))))</f>
        <v>—</v>
      </c>
    </row>
    <row r="31" customFormat="false" ht="48" hidden="false" customHeight="true" outlineLevel="0" collapsed="false">
      <c r="A31" s="23" t="n">
        <v>30</v>
      </c>
      <c r="B31" s="32" t="s">
        <v>215</v>
      </c>
      <c r="C31" s="23" t="str">
        <f aca="false">IF(OR(B31="A",B31="B"),"Yes","No")</f>
        <v>Yes</v>
      </c>
      <c r="D31" s="23" t="s">
        <v>147</v>
      </c>
      <c r="E31" s="23" t="s">
        <v>332</v>
      </c>
      <c r="F31" s="23" t="s">
        <v>333</v>
      </c>
      <c r="G31" s="23"/>
      <c r="H31" s="23" t="s">
        <v>164</v>
      </c>
      <c r="I31" s="4" t="s">
        <v>165</v>
      </c>
      <c r="J31" s="23" t="s">
        <v>133</v>
      </c>
      <c r="K31" s="23" t="s">
        <v>334</v>
      </c>
      <c r="L31" s="23" t="s">
        <v>134</v>
      </c>
      <c r="M31" s="25" t="n">
        <v>63.6</v>
      </c>
      <c r="N31" s="23" t="s">
        <v>135</v>
      </c>
      <c r="O31" s="23" t="s">
        <v>136</v>
      </c>
      <c r="P31" s="4" t="s">
        <v>154</v>
      </c>
      <c r="Q31" s="4" t="s">
        <v>155</v>
      </c>
      <c r="R31" s="4" t="s">
        <v>167</v>
      </c>
      <c r="S31" s="4"/>
      <c r="T31" s="4"/>
      <c r="U31" s="4" t="s">
        <v>222</v>
      </c>
      <c r="V31" s="23" t="s">
        <v>335</v>
      </c>
      <c r="W31" s="23" t="s">
        <v>336</v>
      </c>
      <c r="X31" s="23"/>
      <c r="Y31" s="23"/>
      <c r="Z31" s="23"/>
      <c r="AA31" s="23"/>
      <c r="AB31" s="23"/>
      <c r="AC31" s="4" t="s">
        <v>337</v>
      </c>
      <c r="AD31" s="26" t="n">
        <f aca="false">COUNTA(V31:AA31)</f>
        <v>2</v>
      </c>
      <c r="AE31" s="27"/>
      <c r="AF31" s="27" t="s">
        <v>34</v>
      </c>
      <c r="AG31" s="28"/>
      <c r="AH31" s="27"/>
      <c r="AI31" s="27"/>
      <c r="AJ31" s="27"/>
      <c r="AK31" s="27"/>
      <c r="AL31" s="28"/>
      <c r="AM31" s="28"/>
      <c r="AN31" s="29"/>
      <c r="AO31" s="4" t="str">
        <f aca="false">IFERROR(INDEX(Playbook!$C$4:$C$17,MATCH($AF31,Playbook!$A$4:$A$17,0)),"")</f>
        <v>Read the row: tier, segment, trigger, reason we lose them. Check contact coverage; if 0, enrich before anything else.</v>
      </c>
      <c r="AP31" s="23" t="str">
        <f aca="false">IFERROR(INDEX(Playbook!$D$4:$D$17,MATCH($AF31,Playbook!$A$4:$A$17,0)),"")</f>
        <v>—</v>
      </c>
      <c r="AQ31" s="4" t="str">
        <f aca="false">IFERROR(INDEX(Playbook!$E$4:$E$17,MATCH($AF31,Playbook!$A$4:$A$17,0)),"")</f>
        <v>Row read and a contact channel exists</v>
      </c>
      <c r="AR31" s="30" t="n">
        <f aca="false">IFERROR(INDEX(Playbook!$G$4:$G$17,MATCH($AF31,Playbook!$A$4:$A$17,0)),0)</f>
        <v>0</v>
      </c>
      <c r="AS31" s="31" t="n">
        <f aca="false">IFERROR(INDEX('Pricing &amp; Pilot'!$D$4:$D$6,MATCH($D31,'Pricing &amp; Pilot'!$A$4:$A$6,0)),0)</f>
        <v>6480</v>
      </c>
      <c r="AT31" s="31" t="n">
        <f aca="false">AS31*AR31</f>
        <v>0</v>
      </c>
      <c r="AU31" s="23" t="str">
        <f aca="true">IF(AL31="","",TODAY()-AL31)</f>
        <v/>
      </c>
      <c r="AV31" s="23" t="str">
        <f aca="true">IF(AM31="","",IF(AND(AM31&lt;TODAY(),$AF31&lt;&gt;"Customer",$AF31&lt;&gt;"Lost",$AF31&lt;&gt;"Not a fit"),"OVERDUE",""))</f>
        <v/>
      </c>
      <c r="AW31" s="23" t="str">
        <f aca="false">IF(AV31="OVERDUE","RED",IF($AF31="Not started","—",IF($AF31="Customer","GREEN",IF(OR($AF31="Lost",$AF31="Not a fit"),"CLOSED","AMBER"))))</f>
        <v>—</v>
      </c>
    </row>
    <row r="32" customFormat="false" ht="48" hidden="false" customHeight="true" outlineLevel="0" collapsed="false">
      <c r="A32" s="23" t="n">
        <v>31</v>
      </c>
      <c r="B32" s="32" t="s">
        <v>215</v>
      </c>
      <c r="C32" s="23" t="str">
        <f aca="false">IF(OR(B32="A",B32="B"),"Yes","No")</f>
        <v>Yes</v>
      </c>
      <c r="D32" s="23" t="s">
        <v>127</v>
      </c>
      <c r="E32" s="23" t="s">
        <v>338</v>
      </c>
      <c r="F32" s="23" t="s">
        <v>339</v>
      </c>
      <c r="G32" s="23" t="s">
        <v>340</v>
      </c>
      <c r="H32" s="23" t="s">
        <v>314</v>
      </c>
      <c r="I32" s="4" t="s">
        <v>315</v>
      </c>
      <c r="J32" s="23" t="s">
        <v>133</v>
      </c>
      <c r="K32" s="23" t="s">
        <v>188</v>
      </c>
      <c r="L32" s="23" t="s">
        <v>134</v>
      </c>
      <c r="M32" s="25" t="n">
        <v>63.6</v>
      </c>
      <c r="N32" s="23" t="s">
        <v>135</v>
      </c>
      <c r="O32" s="23" t="s">
        <v>136</v>
      </c>
      <c r="P32" s="4" t="s">
        <v>137</v>
      </c>
      <c r="Q32" s="4" t="s">
        <v>155</v>
      </c>
      <c r="R32" s="4" t="s">
        <v>316</v>
      </c>
      <c r="S32" s="4"/>
      <c r="T32" s="4"/>
      <c r="U32" s="4" t="s">
        <v>222</v>
      </c>
      <c r="V32" s="23"/>
      <c r="W32" s="23"/>
      <c r="X32" s="23"/>
      <c r="Y32" s="23"/>
      <c r="Z32" s="23"/>
      <c r="AA32" s="23"/>
      <c r="AB32" s="23"/>
      <c r="AC32" s="4" t="s">
        <v>341</v>
      </c>
      <c r="AD32" s="26" t="n">
        <f aca="false">COUNTA(V32:AA32)</f>
        <v>0</v>
      </c>
      <c r="AE32" s="27"/>
      <c r="AF32" s="27" t="s">
        <v>34</v>
      </c>
      <c r="AG32" s="28"/>
      <c r="AH32" s="27"/>
      <c r="AI32" s="27"/>
      <c r="AJ32" s="27"/>
      <c r="AK32" s="27"/>
      <c r="AL32" s="28"/>
      <c r="AM32" s="28"/>
      <c r="AN32" s="29"/>
      <c r="AO32" s="4" t="str">
        <f aca="false">IFERROR(INDEX(Playbook!$C$4:$C$17,MATCH($AF32,Playbook!$A$4:$A$17,0)),"")</f>
        <v>Read the row: tier, segment, trigger, reason we lose them. Check contact coverage; if 0, enrich before anything else.</v>
      </c>
      <c r="AP32" s="23" t="str">
        <f aca="false">IFERROR(INDEX(Playbook!$D$4:$D$17,MATCH($AF32,Playbook!$A$4:$A$17,0)),"")</f>
        <v>—</v>
      </c>
      <c r="AQ32" s="4" t="str">
        <f aca="false">IFERROR(INDEX(Playbook!$E$4:$E$17,MATCH($AF32,Playbook!$A$4:$A$17,0)),"")</f>
        <v>Row read and a contact channel exists</v>
      </c>
      <c r="AR32" s="30" t="n">
        <f aca="false">IFERROR(INDEX(Playbook!$G$4:$G$17,MATCH($AF32,Playbook!$A$4:$A$17,0)),0)</f>
        <v>0</v>
      </c>
      <c r="AS32" s="31" t="n">
        <f aca="false">IFERROR(INDEX('Pricing &amp; Pilot'!$D$4:$D$6,MATCH($D32,'Pricing &amp; Pilot'!$A$4:$A$6,0)),0)</f>
        <v>3600</v>
      </c>
      <c r="AT32" s="31" t="n">
        <f aca="false">AS32*AR32</f>
        <v>0</v>
      </c>
      <c r="AU32" s="23" t="str">
        <f aca="true">IF(AL32="","",TODAY()-AL32)</f>
        <v/>
      </c>
      <c r="AV32" s="23" t="str">
        <f aca="true">IF(AM32="","",IF(AND(AM32&lt;TODAY(),$AF32&lt;&gt;"Customer",$AF32&lt;&gt;"Lost",$AF32&lt;&gt;"Not a fit"),"OVERDUE",""))</f>
        <v/>
      </c>
      <c r="AW32" s="23" t="str">
        <f aca="false">IF(AV32="OVERDUE","RED",IF($AF32="Not started","—",IF($AF32="Customer","GREEN",IF(OR($AF32="Lost",$AF32="Not a fit"),"CLOSED","AMBER"))))</f>
        <v>—</v>
      </c>
    </row>
    <row r="33" customFormat="false" ht="48" hidden="false" customHeight="true" outlineLevel="0" collapsed="false">
      <c r="A33" s="23" t="n">
        <v>32</v>
      </c>
      <c r="B33" s="32" t="s">
        <v>215</v>
      </c>
      <c r="C33" s="23" t="str">
        <f aca="false">IF(OR(B33="A",B33="B"),"Yes","No")</f>
        <v>Yes</v>
      </c>
      <c r="D33" s="23" t="s">
        <v>147</v>
      </c>
      <c r="E33" s="23" t="s">
        <v>342</v>
      </c>
      <c r="F33" s="23" t="s">
        <v>343</v>
      </c>
      <c r="G33" s="23" t="s">
        <v>344</v>
      </c>
      <c r="H33" s="23" t="s">
        <v>164</v>
      </c>
      <c r="I33" s="4" t="s">
        <v>165</v>
      </c>
      <c r="J33" s="23" t="s">
        <v>345</v>
      </c>
      <c r="K33" s="23" t="s">
        <v>346</v>
      </c>
      <c r="L33" s="23" t="s">
        <v>134</v>
      </c>
      <c r="M33" s="25" t="n">
        <v>62</v>
      </c>
      <c r="N33" s="23" t="s">
        <v>135</v>
      </c>
      <c r="O33" s="23" t="s">
        <v>136</v>
      </c>
      <c r="P33" s="4" t="s">
        <v>154</v>
      </c>
      <c r="Q33" s="4" t="s">
        <v>155</v>
      </c>
      <c r="R33" s="4" t="s">
        <v>347</v>
      </c>
      <c r="S33" s="4"/>
      <c r="T33" s="4"/>
      <c r="U33" s="4" t="s">
        <v>348</v>
      </c>
      <c r="V33" s="23" t="s">
        <v>349</v>
      </c>
      <c r="W33" s="23"/>
      <c r="X33" s="23" t="s">
        <v>350</v>
      </c>
      <c r="Y33" s="23"/>
      <c r="Z33" s="23"/>
      <c r="AA33" s="23"/>
      <c r="AB33" s="23"/>
      <c r="AC33" s="4" t="s">
        <v>351</v>
      </c>
      <c r="AD33" s="26" t="n">
        <f aca="false">COUNTA(V33:AA33)</f>
        <v>2</v>
      </c>
      <c r="AE33" s="27"/>
      <c r="AF33" s="27" t="s">
        <v>34</v>
      </c>
      <c r="AG33" s="28"/>
      <c r="AH33" s="27"/>
      <c r="AI33" s="27"/>
      <c r="AJ33" s="27"/>
      <c r="AK33" s="27"/>
      <c r="AL33" s="28"/>
      <c r="AM33" s="28"/>
      <c r="AN33" s="29"/>
      <c r="AO33" s="4" t="str">
        <f aca="false">IFERROR(INDEX(Playbook!$C$4:$C$17,MATCH($AF33,Playbook!$A$4:$A$17,0)),"")</f>
        <v>Read the row: tier, segment, trigger, reason we lose them. Check contact coverage; if 0, enrich before anything else.</v>
      </c>
      <c r="AP33" s="23" t="str">
        <f aca="false">IFERROR(INDEX(Playbook!$D$4:$D$17,MATCH($AF33,Playbook!$A$4:$A$17,0)),"")</f>
        <v>—</v>
      </c>
      <c r="AQ33" s="4" t="str">
        <f aca="false">IFERROR(INDEX(Playbook!$E$4:$E$17,MATCH($AF33,Playbook!$A$4:$A$17,0)),"")</f>
        <v>Row read and a contact channel exists</v>
      </c>
      <c r="AR33" s="30" t="n">
        <f aca="false">IFERROR(INDEX(Playbook!$G$4:$G$17,MATCH($AF33,Playbook!$A$4:$A$17,0)),0)</f>
        <v>0</v>
      </c>
      <c r="AS33" s="31" t="n">
        <f aca="false">IFERROR(INDEX('Pricing &amp; Pilot'!$D$4:$D$6,MATCH($D33,'Pricing &amp; Pilot'!$A$4:$A$6,0)),0)</f>
        <v>6480</v>
      </c>
      <c r="AT33" s="31" t="n">
        <f aca="false">AS33*AR33</f>
        <v>0</v>
      </c>
      <c r="AU33" s="23" t="str">
        <f aca="true">IF(AL33="","",TODAY()-AL33)</f>
        <v/>
      </c>
      <c r="AV33" s="23" t="str">
        <f aca="true">IF(AM33="","",IF(AND(AM33&lt;TODAY(),$AF33&lt;&gt;"Customer",$AF33&lt;&gt;"Lost",$AF33&lt;&gt;"Not a fit"),"OVERDUE",""))</f>
        <v/>
      </c>
      <c r="AW33" s="23" t="str">
        <f aca="false">IF(AV33="OVERDUE","RED",IF($AF33="Not started","—",IF($AF33="Customer","GREEN",IF(OR($AF33="Lost",$AF33="Not a fit"),"CLOSED","AMBER"))))</f>
        <v>—</v>
      </c>
    </row>
    <row r="34" customFormat="false" ht="48" hidden="false" customHeight="true" outlineLevel="0" collapsed="false">
      <c r="A34" s="23" t="n">
        <v>33</v>
      </c>
      <c r="B34" s="32" t="s">
        <v>215</v>
      </c>
      <c r="C34" s="23" t="str">
        <f aca="false">IF(OR(B34="A",B34="B"),"Yes","No")</f>
        <v>Yes</v>
      </c>
      <c r="D34" s="23" t="s">
        <v>352</v>
      </c>
      <c r="E34" s="23" t="s">
        <v>353</v>
      </c>
      <c r="F34" s="23" t="s">
        <v>354</v>
      </c>
      <c r="G34" s="23"/>
      <c r="H34" s="23" t="s">
        <v>355</v>
      </c>
      <c r="I34" s="4" t="s">
        <v>219</v>
      </c>
      <c r="J34" s="23" t="s">
        <v>356</v>
      </c>
      <c r="K34" s="23" t="s">
        <v>357</v>
      </c>
      <c r="L34" s="23" t="s">
        <v>134</v>
      </c>
      <c r="M34" s="25" t="n">
        <v>60.4</v>
      </c>
      <c r="N34" s="23" t="s">
        <v>135</v>
      </c>
      <c r="O34" s="23" t="s">
        <v>136</v>
      </c>
      <c r="P34" s="4" t="s">
        <v>137</v>
      </c>
      <c r="Q34" s="4" t="s">
        <v>155</v>
      </c>
      <c r="R34" s="4" t="s">
        <v>358</v>
      </c>
      <c r="S34" s="4"/>
      <c r="T34" s="4"/>
      <c r="U34" s="4" t="s">
        <v>348</v>
      </c>
      <c r="V34" s="23" t="s">
        <v>359</v>
      </c>
      <c r="W34" s="23"/>
      <c r="X34" s="23"/>
      <c r="Y34" s="23"/>
      <c r="Z34" s="23"/>
      <c r="AA34" s="23"/>
      <c r="AB34" s="23"/>
      <c r="AC34" s="4" t="s">
        <v>360</v>
      </c>
      <c r="AD34" s="26" t="n">
        <f aca="false">COUNTA(V34:AA34)</f>
        <v>1</v>
      </c>
      <c r="AE34" s="27"/>
      <c r="AF34" s="27" t="s">
        <v>34</v>
      </c>
      <c r="AG34" s="28"/>
      <c r="AH34" s="27"/>
      <c r="AI34" s="27"/>
      <c r="AJ34" s="27"/>
      <c r="AK34" s="27"/>
      <c r="AL34" s="28"/>
      <c r="AM34" s="28"/>
      <c r="AN34" s="29"/>
      <c r="AO34" s="4" t="str">
        <f aca="false">IFERROR(INDEX(Playbook!$C$4:$C$17,MATCH($AF34,Playbook!$A$4:$A$17,0)),"")</f>
        <v>Read the row: tier, segment, trigger, reason we lose them. Check contact coverage; if 0, enrich before anything else.</v>
      </c>
      <c r="AP34" s="23" t="str">
        <f aca="false">IFERROR(INDEX(Playbook!$D$4:$D$17,MATCH($AF34,Playbook!$A$4:$A$17,0)),"")</f>
        <v>—</v>
      </c>
      <c r="AQ34" s="4" t="str">
        <f aca="false">IFERROR(INDEX(Playbook!$E$4:$E$17,MATCH($AF34,Playbook!$A$4:$A$17,0)),"")</f>
        <v>Row read and a contact channel exists</v>
      </c>
      <c r="AR34" s="30" t="n">
        <f aca="false">IFERROR(INDEX(Playbook!$G$4:$G$17,MATCH($AF34,Playbook!$A$4:$A$17,0)),0)</f>
        <v>0</v>
      </c>
      <c r="AS34" s="31" t="n">
        <f aca="false">IFERROR(INDEX('Pricing &amp; Pilot'!$D$4:$D$6,MATCH($D34,'Pricing &amp; Pilot'!$A$4:$A$6,0)),0)</f>
        <v>2160</v>
      </c>
      <c r="AT34" s="31" t="n">
        <f aca="false">AS34*AR34</f>
        <v>0</v>
      </c>
      <c r="AU34" s="23" t="str">
        <f aca="true">IF(AL34="","",TODAY()-AL34)</f>
        <v/>
      </c>
      <c r="AV34" s="23" t="str">
        <f aca="true">IF(AM34="","",IF(AND(AM34&lt;TODAY(),$AF34&lt;&gt;"Customer",$AF34&lt;&gt;"Lost",$AF34&lt;&gt;"Not a fit"),"OVERDUE",""))</f>
        <v/>
      </c>
      <c r="AW34" s="23" t="str">
        <f aca="false">IF(AV34="OVERDUE","RED",IF($AF34="Not started","—",IF($AF34="Customer","GREEN",IF(OR($AF34="Lost",$AF34="Not a fit"),"CLOSED","AMBER"))))</f>
        <v>—</v>
      </c>
    </row>
    <row r="35" customFormat="false" ht="48" hidden="false" customHeight="true" outlineLevel="0" collapsed="false">
      <c r="A35" s="23" t="n">
        <v>34</v>
      </c>
      <c r="B35" s="32" t="s">
        <v>215</v>
      </c>
      <c r="C35" s="23" t="str">
        <f aca="false">IF(OR(B35="A",B35="B"),"Yes","No")</f>
        <v>Yes</v>
      </c>
      <c r="D35" s="23" t="s">
        <v>352</v>
      </c>
      <c r="E35" s="23" t="s">
        <v>361</v>
      </c>
      <c r="F35" s="23" t="s">
        <v>362</v>
      </c>
      <c r="G35" s="23"/>
      <c r="H35" s="23" t="s">
        <v>131</v>
      </c>
      <c r="I35" s="4" t="s">
        <v>132</v>
      </c>
      <c r="J35" s="23" t="s">
        <v>363</v>
      </c>
      <c r="K35" s="23" t="s">
        <v>364</v>
      </c>
      <c r="L35" s="23" t="s">
        <v>134</v>
      </c>
      <c r="M35" s="25" t="n">
        <v>58.8</v>
      </c>
      <c r="N35" s="23" t="s">
        <v>135</v>
      </c>
      <c r="O35" s="23" t="s">
        <v>136</v>
      </c>
      <c r="P35" s="4" t="s">
        <v>137</v>
      </c>
      <c r="Q35" s="4" t="s">
        <v>155</v>
      </c>
      <c r="R35" s="4" t="s">
        <v>365</v>
      </c>
      <c r="S35" s="4"/>
      <c r="T35" s="4"/>
      <c r="U35" s="4" t="s">
        <v>348</v>
      </c>
      <c r="V35" s="23"/>
      <c r="W35" s="23"/>
      <c r="X35" s="23"/>
      <c r="Y35" s="23"/>
      <c r="Z35" s="23"/>
      <c r="AA35" s="23"/>
      <c r="AB35" s="23"/>
      <c r="AC35" s="4" t="s">
        <v>366</v>
      </c>
      <c r="AD35" s="26" t="n">
        <f aca="false">COUNTA(V35:AA35)</f>
        <v>0</v>
      </c>
      <c r="AE35" s="27"/>
      <c r="AF35" s="27" t="s">
        <v>34</v>
      </c>
      <c r="AG35" s="28"/>
      <c r="AH35" s="27"/>
      <c r="AI35" s="27"/>
      <c r="AJ35" s="27"/>
      <c r="AK35" s="27"/>
      <c r="AL35" s="28"/>
      <c r="AM35" s="28"/>
      <c r="AN35" s="29"/>
      <c r="AO35" s="4" t="str">
        <f aca="false">IFERROR(INDEX(Playbook!$C$4:$C$17,MATCH($AF35,Playbook!$A$4:$A$17,0)),"")</f>
        <v>Read the row: tier, segment, trigger, reason we lose them. Check contact coverage; if 0, enrich before anything else.</v>
      </c>
      <c r="AP35" s="23" t="str">
        <f aca="false">IFERROR(INDEX(Playbook!$D$4:$D$17,MATCH($AF35,Playbook!$A$4:$A$17,0)),"")</f>
        <v>—</v>
      </c>
      <c r="AQ35" s="4" t="str">
        <f aca="false">IFERROR(INDEX(Playbook!$E$4:$E$17,MATCH($AF35,Playbook!$A$4:$A$17,0)),"")</f>
        <v>Row read and a contact channel exists</v>
      </c>
      <c r="AR35" s="30" t="n">
        <f aca="false">IFERROR(INDEX(Playbook!$G$4:$G$17,MATCH($AF35,Playbook!$A$4:$A$17,0)),0)</f>
        <v>0</v>
      </c>
      <c r="AS35" s="31" t="n">
        <f aca="false">IFERROR(INDEX('Pricing &amp; Pilot'!$D$4:$D$6,MATCH($D35,'Pricing &amp; Pilot'!$A$4:$A$6,0)),0)</f>
        <v>2160</v>
      </c>
      <c r="AT35" s="31" t="n">
        <f aca="false">AS35*AR35</f>
        <v>0</v>
      </c>
      <c r="AU35" s="23" t="str">
        <f aca="true">IF(AL35="","",TODAY()-AL35)</f>
        <v/>
      </c>
      <c r="AV35" s="23" t="str">
        <f aca="true">IF(AM35="","",IF(AND(AM35&lt;TODAY(),$AF35&lt;&gt;"Customer",$AF35&lt;&gt;"Lost",$AF35&lt;&gt;"Not a fit"),"OVERDUE",""))</f>
        <v/>
      </c>
      <c r="AW35" s="23" t="str">
        <f aca="false">IF(AV35="OVERDUE","RED",IF($AF35="Not started","—",IF($AF35="Customer","GREEN",IF(OR($AF35="Lost",$AF35="Not a fit"),"CLOSED","AMBER"))))</f>
        <v>—</v>
      </c>
    </row>
    <row r="36" customFormat="false" ht="48" hidden="false" customHeight="true" outlineLevel="0" collapsed="false">
      <c r="A36" s="23" t="n">
        <v>35</v>
      </c>
      <c r="B36" s="32" t="s">
        <v>215</v>
      </c>
      <c r="C36" s="23" t="str">
        <f aca="false">IF(OR(B36="A",B36="B"),"Yes","No")</f>
        <v>Yes</v>
      </c>
      <c r="D36" s="23" t="s">
        <v>147</v>
      </c>
      <c r="E36" s="23" t="s">
        <v>367</v>
      </c>
      <c r="F36" s="23" t="s">
        <v>368</v>
      </c>
      <c r="G36" s="23" t="s">
        <v>369</v>
      </c>
      <c r="H36" s="23" t="s">
        <v>151</v>
      </c>
      <c r="I36" s="4" t="s">
        <v>152</v>
      </c>
      <c r="J36" s="23" t="s">
        <v>363</v>
      </c>
      <c r="K36" s="23" t="s">
        <v>346</v>
      </c>
      <c r="L36" s="23" t="s">
        <v>134</v>
      </c>
      <c r="M36" s="25" t="n">
        <v>58.8</v>
      </c>
      <c r="N36" s="23" t="s">
        <v>135</v>
      </c>
      <c r="O36" s="23" t="s">
        <v>136</v>
      </c>
      <c r="P36" s="4" t="s">
        <v>154</v>
      </c>
      <c r="Q36" s="4" t="s">
        <v>155</v>
      </c>
      <c r="R36" s="4" t="s">
        <v>370</v>
      </c>
      <c r="S36" s="4"/>
      <c r="T36" s="4"/>
      <c r="U36" s="4" t="s">
        <v>348</v>
      </c>
      <c r="V36" s="23"/>
      <c r="W36" s="23"/>
      <c r="X36" s="23"/>
      <c r="Y36" s="23"/>
      <c r="Z36" s="23"/>
      <c r="AA36" s="23"/>
      <c r="AB36" s="23"/>
      <c r="AC36" s="4" t="s">
        <v>371</v>
      </c>
      <c r="AD36" s="26" t="n">
        <f aca="false">COUNTA(V36:AA36)</f>
        <v>0</v>
      </c>
      <c r="AE36" s="27"/>
      <c r="AF36" s="27" t="s">
        <v>34</v>
      </c>
      <c r="AG36" s="28"/>
      <c r="AH36" s="27"/>
      <c r="AI36" s="27"/>
      <c r="AJ36" s="27"/>
      <c r="AK36" s="27"/>
      <c r="AL36" s="28"/>
      <c r="AM36" s="28"/>
      <c r="AN36" s="29"/>
      <c r="AO36" s="4" t="str">
        <f aca="false">IFERROR(INDEX(Playbook!$C$4:$C$17,MATCH($AF36,Playbook!$A$4:$A$17,0)),"")</f>
        <v>Read the row: tier, segment, trigger, reason we lose them. Check contact coverage; if 0, enrich before anything else.</v>
      </c>
      <c r="AP36" s="23" t="str">
        <f aca="false">IFERROR(INDEX(Playbook!$D$4:$D$17,MATCH($AF36,Playbook!$A$4:$A$17,0)),"")</f>
        <v>—</v>
      </c>
      <c r="AQ36" s="4" t="str">
        <f aca="false">IFERROR(INDEX(Playbook!$E$4:$E$17,MATCH($AF36,Playbook!$A$4:$A$17,0)),"")</f>
        <v>Row read and a contact channel exists</v>
      </c>
      <c r="AR36" s="30" t="n">
        <f aca="false">IFERROR(INDEX(Playbook!$G$4:$G$17,MATCH($AF36,Playbook!$A$4:$A$17,0)),0)</f>
        <v>0</v>
      </c>
      <c r="AS36" s="31" t="n">
        <f aca="false">IFERROR(INDEX('Pricing &amp; Pilot'!$D$4:$D$6,MATCH($D36,'Pricing &amp; Pilot'!$A$4:$A$6,0)),0)</f>
        <v>6480</v>
      </c>
      <c r="AT36" s="31" t="n">
        <f aca="false">AS36*AR36</f>
        <v>0</v>
      </c>
      <c r="AU36" s="23" t="str">
        <f aca="true">IF(AL36="","",TODAY()-AL36)</f>
        <v/>
      </c>
      <c r="AV36" s="23" t="str">
        <f aca="true">IF(AM36="","",IF(AND(AM36&lt;TODAY(),$AF36&lt;&gt;"Customer",$AF36&lt;&gt;"Lost",$AF36&lt;&gt;"Not a fit"),"OVERDUE",""))</f>
        <v/>
      </c>
      <c r="AW36" s="23" t="str">
        <f aca="false">IF(AV36="OVERDUE","RED",IF($AF36="Not started","—",IF($AF36="Customer","GREEN",IF(OR($AF36="Lost",$AF36="Not a fit"),"CLOSED","AMBER"))))</f>
        <v>—</v>
      </c>
    </row>
    <row r="37" customFormat="false" ht="48" hidden="false" customHeight="true" outlineLevel="0" collapsed="false">
      <c r="A37" s="23" t="n">
        <v>36</v>
      </c>
      <c r="B37" s="32" t="s">
        <v>215</v>
      </c>
      <c r="C37" s="23" t="str">
        <f aca="false">IF(OR(B37="A",B37="B"),"Yes","No")</f>
        <v>Yes</v>
      </c>
      <c r="D37" s="23" t="s">
        <v>352</v>
      </c>
      <c r="E37" s="23" t="s">
        <v>372</v>
      </c>
      <c r="F37" s="23" t="s">
        <v>373</v>
      </c>
      <c r="G37" s="23" t="s">
        <v>374</v>
      </c>
      <c r="H37" s="23" t="s">
        <v>131</v>
      </c>
      <c r="I37" s="4" t="s">
        <v>132</v>
      </c>
      <c r="J37" s="23" t="s">
        <v>363</v>
      </c>
      <c r="K37" s="23" t="s">
        <v>153</v>
      </c>
      <c r="L37" s="23" t="s">
        <v>134</v>
      </c>
      <c r="M37" s="25" t="n">
        <v>58.8</v>
      </c>
      <c r="N37" s="23" t="s">
        <v>135</v>
      </c>
      <c r="O37" s="23" t="s">
        <v>136</v>
      </c>
      <c r="P37" s="4" t="s">
        <v>137</v>
      </c>
      <c r="Q37" s="4" t="s">
        <v>155</v>
      </c>
      <c r="R37" s="4" t="s">
        <v>365</v>
      </c>
      <c r="S37" s="4"/>
      <c r="T37" s="4"/>
      <c r="U37" s="4" t="s">
        <v>348</v>
      </c>
      <c r="V37" s="23"/>
      <c r="W37" s="23"/>
      <c r="X37" s="23"/>
      <c r="Y37" s="23"/>
      <c r="Z37" s="23"/>
      <c r="AA37" s="23"/>
      <c r="AB37" s="23"/>
      <c r="AC37" s="4" t="s">
        <v>375</v>
      </c>
      <c r="AD37" s="26" t="n">
        <f aca="false">COUNTA(V37:AA37)</f>
        <v>0</v>
      </c>
      <c r="AE37" s="27"/>
      <c r="AF37" s="27" t="s">
        <v>34</v>
      </c>
      <c r="AG37" s="28"/>
      <c r="AH37" s="27"/>
      <c r="AI37" s="27"/>
      <c r="AJ37" s="27"/>
      <c r="AK37" s="27"/>
      <c r="AL37" s="28"/>
      <c r="AM37" s="28"/>
      <c r="AN37" s="29"/>
      <c r="AO37" s="4" t="str">
        <f aca="false">IFERROR(INDEX(Playbook!$C$4:$C$17,MATCH($AF37,Playbook!$A$4:$A$17,0)),"")</f>
        <v>Read the row: tier, segment, trigger, reason we lose them. Check contact coverage; if 0, enrich before anything else.</v>
      </c>
      <c r="AP37" s="23" t="str">
        <f aca="false">IFERROR(INDEX(Playbook!$D$4:$D$17,MATCH($AF37,Playbook!$A$4:$A$17,0)),"")</f>
        <v>—</v>
      </c>
      <c r="AQ37" s="4" t="str">
        <f aca="false">IFERROR(INDEX(Playbook!$E$4:$E$17,MATCH($AF37,Playbook!$A$4:$A$17,0)),"")</f>
        <v>Row read and a contact channel exists</v>
      </c>
      <c r="AR37" s="30" t="n">
        <f aca="false">IFERROR(INDEX(Playbook!$G$4:$G$17,MATCH($AF37,Playbook!$A$4:$A$17,0)),0)</f>
        <v>0</v>
      </c>
      <c r="AS37" s="31" t="n">
        <f aca="false">IFERROR(INDEX('Pricing &amp; Pilot'!$D$4:$D$6,MATCH($D37,'Pricing &amp; Pilot'!$A$4:$A$6,0)),0)</f>
        <v>2160</v>
      </c>
      <c r="AT37" s="31" t="n">
        <f aca="false">AS37*AR37</f>
        <v>0</v>
      </c>
      <c r="AU37" s="23" t="str">
        <f aca="true">IF(AL37="","",TODAY()-AL37)</f>
        <v/>
      </c>
      <c r="AV37" s="23" t="str">
        <f aca="true">IF(AM37="","",IF(AND(AM37&lt;TODAY(),$AF37&lt;&gt;"Customer",$AF37&lt;&gt;"Lost",$AF37&lt;&gt;"Not a fit"),"OVERDUE",""))</f>
        <v/>
      </c>
      <c r="AW37" s="23" t="str">
        <f aca="false">IF(AV37="OVERDUE","RED",IF($AF37="Not started","—",IF($AF37="Customer","GREEN",IF(OR($AF37="Lost",$AF37="Not a fit"),"CLOSED","AMBER"))))</f>
        <v>—</v>
      </c>
    </row>
    <row r="38" customFormat="false" ht="48" hidden="false" customHeight="true" outlineLevel="0" collapsed="false">
      <c r="A38" s="23" t="n">
        <v>37</v>
      </c>
      <c r="B38" s="32" t="s">
        <v>215</v>
      </c>
      <c r="C38" s="23" t="str">
        <f aca="false">IF(OR(B38="A",B38="B"),"Yes","No")</f>
        <v>Yes</v>
      </c>
      <c r="D38" s="23" t="s">
        <v>352</v>
      </c>
      <c r="E38" s="23" t="s">
        <v>376</v>
      </c>
      <c r="F38" s="23" t="s">
        <v>377</v>
      </c>
      <c r="G38" s="23" t="s">
        <v>378</v>
      </c>
      <c r="H38" s="23" t="s">
        <v>131</v>
      </c>
      <c r="I38" s="4" t="s">
        <v>132</v>
      </c>
      <c r="J38" s="23" t="s">
        <v>363</v>
      </c>
      <c r="K38" s="23" t="s">
        <v>200</v>
      </c>
      <c r="L38" s="23" t="s">
        <v>134</v>
      </c>
      <c r="M38" s="25" t="n">
        <v>58.8</v>
      </c>
      <c r="N38" s="23" t="s">
        <v>135</v>
      </c>
      <c r="O38" s="23" t="s">
        <v>136</v>
      </c>
      <c r="P38" s="4" t="s">
        <v>137</v>
      </c>
      <c r="Q38" s="4" t="s">
        <v>155</v>
      </c>
      <c r="R38" s="4" t="s">
        <v>365</v>
      </c>
      <c r="S38" s="4"/>
      <c r="T38" s="4"/>
      <c r="U38" s="4" t="s">
        <v>348</v>
      </c>
      <c r="V38" s="23"/>
      <c r="W38" s="23"/>
      <c r="X38" s="23"/>
      <c r="Y38" s="23"/>
      <c r="Z38" s="23"/>
      <c r="AA38" s="23"/>
      <c r="AB38" s="23"/>
      <c r="AC38" s="4" t="s">
        <v>379</v>
      </c>
      <c r="AD38" s="26" t="n">
        <f aca="false">COUNTA(V38:AA38)</f>
        <v>0</v>
      </c>
      <c r="AE38" s="27"/>
      <c r="AF38" s="27" t="s">
        <v>34</v>
      </c>
      <c r="AG38" s="28"/>
      <c r="AH38" s="27"/>
      <c r="AI38" s="27"/>
      <c r="AJ38" s="27"/>
      <c r="AK38" s="27"/>
      <c r="AL38" s="28"/>
      <c r="AM38" s="28"/>
      <c r="AN38" s="29"/>
      <c r="AO38" s="4" t="str">
        <f aca="false">IFERROR(INDEX(Playbook!$C$4:$C$17,MATCH($AF38,Playbook!$A$4:$A$17,0)),"")</f>
        <v>Read the row: tier, segment, trigger, reason we lose them. Check contact coverage; if 0, enrich before anything else.</v>
      </c>
      <c r="AP38" s="23" t="str">
        <f aca="false">IFERROR(INDEX(Playbook!$D$4:$D$17,MATCH($AF38,Playbook!$A$4:$A$17,0)),"")</f>
        <v>—</v>
      </c>
      <c r="AQ38" s="4" t="str">
        <f aca="false">IFERROR(INDEX(Playbook!$E$4:$E$17,MATCH($AF38,Playbook!$A$4:$A$17,0)),"")</f>
        <v>Row read and a contact channel exists</v>
      </c>
      <c r="AR38" s="30" t="n">
        <f aca="false">IFERROR(INDEX(Playbook!$G$4:$G$17,MATCH($AF38,Playbook!$A$4:$A$17,0)),0)</f>
        <v>0</v>
      </c>
      <c r="AS38" s="31" t="n">
        <f aca="false">IFERROR(INDEX('Pricing &amp; Pilot'!$D$4:$D$6,MATCH($D38,'Pricing &amp; Pilot'!$A$4:$A$6,0)),0)</f>
        <v>2160</v>
      </c>
      <c r="AT38" s="31" t="n">
        <f aca="false">AS38*AR38</f>
        <v>0</v>
      </c>
      <c r="AU38" s="23" t="str">
        <f aca="true">IF(AL38="","",TODAY()-AL38)</f>
        <v/>
      </c>
      <c r="AV38" s="23" t="str">
        <f aca="true">IF(AM38="","",IF(AND(AM38&lt;TODAY(),$AF38&lt;&gt;"Customer",$AF38&lt;&gt;"Lost",$AF38&lt;&gt;"Not a fit"),"OVERDUE",""))</f>
        <v/>
      </c>
      <c r="AW38" s="23" t="str">
        <f aca="false">IF(AV38="OVERDUE","RED",IF($AF38="Not started","—",IF($AF38="Customer","GREEN",IF(OR($AF38="Lost",$AF38="Not a fit"),"CLOSED","AMBER"))))</f>
        <v>—</v>
      </c>
    </row>
    <row r="39" customFormat="false" ht="48" hidden="false" customHeight="true" outlineLevel="0" collapsed="false">
      <c r="A39" s="23" t="n">
        <v>38</v>
      </c>
      <c r="B39" s="33" t="s">
        <v>380</v>
      </c>
      <c r="C39" s="23" t="str">
        <f aca="false">IF(OR(B39="A",B39="B"),"Yes","No")</f>
        <v>No</v>
      </c>
      <c r="D39" s="23"/>
      <c r="E39" s="23" t="s">
        <v>381</v>
      </c>
      <c r="F39" s="23" t="s">
        <v>382</v>
      </c>
      <c r="G39" s="23"/>
      <c r="H39" s="23" t="s">
        <v>383</v>
      </c>
      <c r="I39" s="4" t="s">
        <v>219</v>
      </c>
      <c r="J39" s="23" t="s">
        <v>133</v>
      </c>
      <c r="K39" s="23" t="s">
        <v>287</v>
      </c>
      <c r="L39" s="23" t="s">
        <v>134</v>
      </c>
      <c r="M39" s="25" t="n">
        <v>55.6</v>
      </c>
      <c r="N39" s="23" t="s">
        <v>135</v>
      </c>
      <c r="O39" s="23" t="s">
        <v>384</v>
      </c>
      <c r="P39" s="4" t="s">
        <v>385</v>
      </c>
      <c r="Q39" s="4" t="s">
        <v>155</v>
      </c>
      <c r="R39" s="4" t="s">
        <v>386</v>
      </c>
      <c r="S39" s="4"/>
      <c r="T39" s="4"/>
      <c r="U39" s="4" t="s">
        <v>387</v>
      </c>
      <c r="V39" s="23"/>
      <c r="W39" s="23"/>
      <c r="X39" s="23"/>
      <c r="Y39" s="23"/>
      <c r="Z39" s="23"/>
      <c r="AA39" s="23"/>
      <c r="AB39" s="23"/>
      <c r="AC39" s="4" t="s">
        <v>388</v>
      </c>
      <c r="AD39" s="26" t="n">
        <f aca="false">COUNTA(V39:AA39)</f>
        <v>0</v>
      </c>
      <c r="AE39" s="27"/>
      <c r="AF39" s="27" t="s">
        <v>34</v>
      </c>
      <c r="AG39" s="28"/>
      <c r="AH39" s="27"/>
      <c r="AI39" s="27"/>
      <c r="AJ39" s="27"/>
      <c r="AK39" s="27"/>
      <c r="AL39" s="28"/>
      <c r="AM39" s="28"/>
      <c r="AN39" s="29"/>
      <c r="AO39" s="4" t="str">
        <f aca="false">IFERROR(INDEX(Playbook!$C$4:$C$17,MATCH($AF39,Playbook!$A$4:$A$17,0)),"")</f>
        <v>Read the row: tier, segment, trigger, reason we lose them. Check contact coverage; if 0, enrich before anything else.</v>
      </c>
      <c r="AP39" s="23" t="str">
        <f aca="false">IFERROR(INDEX(Playbook!$D$4:$D$17,MATCH($AF39,Playbook!$A$4:$A$17,0)),"")</f>
        <v>—</v>
      </c>
      <c r="AQ39" s="4" t="str">
        <f aca="false">IFERROR(INDEX(Playbook!$E$4:$E$17,MATCH($AF39,Playbook!$A$4:$A$17,0)),"")</f>
        <v>Row read and a contact channel exists</v>
      </c>
      <c r="AR39" s="30" t="n">
        <f aca="false">IFERROR(INDEX(Playbook!$G$4:$G$17,MATCH($AF39,Playbook!$A$4:$A$17,0)),0)</f>
        <v>0</v>
      </c>
      <c r="AS39" s="31" t="n">
        <f aca="false">IFERROR(INDEX('Pricing &amp; Pilot'!$D$4:$D$6,MATCH($D39,'Pricing &amp; Pilot'!$A$4:$A$6,0)),0)</f>
        <v>0</v>
      </c>
      <c r="AT39" s="31" t="n">
        <f aca="false">AS39*AR39</f>
        <v>0</v>
      </c>
      <c r="AU39" s="23" t="str">
        <f aca="true">IF(AL39="","",TODAY()-AL39)</f>
        <v/>
      </c>
      <c r="AV39" s="23" t="str">
        <f aca="true">IF(AM39="","",IF(AND(AM39&lt;TODAY(),$AF39&lt;&gt;"Customer",$AF39&lt;&gt;"Lost",$AF39&lt;&gt;"Not a fit"),"OVERDUE",""))</f>
        <v/>
      </c>
      <c r="AW39" s="23" t="str">
        <f aca="false">IF(AV39="OVERDUE","RED",IF($AF39="Not started","—",IF($AF39="Customer","GREEN",IF(OR($AF39="Lost",$AF39="Not a fit"),"CLOSED","AMBER"))))</f>
        <v>—</v>
      </c>
    </row>
    <row r="40" customFormat="false" ht="48" hidden="false" customHeight="true" outlineLevel="0" collapsed="false">
      <c r="A40" s="23" t="n">
        <v>39</v>
      </c>
      <c r="B40" s="33" t="s">
        <v>380</v>
      </c>
      <c r="C40" s="23" t="str">
        <f aca="false">IF(OR(B40="A",B40="B"),"Yes","No")</f>
        <v>No</v>
      </c>
      <c r="D40" s="23"/>
      <c r="E40" s="23" t="s">
        <v>389</v>
      </c>
      <c r="F40" s="23" t="s">
        <v>390</v>
      </c>
      <c r="G40" s="23" t="s">
        <v>391</v>
      </c>
      <c r="H40" s="23" t="s">
        <v>392</v>
      </c>
      <c r="I40" s="4" t="s">
        <v>393</v>
      </c>
      <c r="J40" s="23" t="s">
        <v>133</v>
      </c>
      <c r="K40" s="23" t="s">
        <v>200</v>
      </c>
      <c r="L40" s="23" t="s">
        <v>134</v>
      </c>
      <c r="M40" s="25" t="n">
        <v>55.6</v>
      </c>
      <c r="N40" s="23" t="s">
        <v>135</v>
      </c>
      <c r="O40" s="23" t="s">
        <v>384</v>
      </c>
      <c r="P40" s="4" t="s">
        <v>385</v>
      </c>
      <c r="Q40" s="4" t="s">
        <v>155</v>
      </c>
      <c r="R40" s="4" t="s">
        <v>386</v>
      </c>
      <c r="S40" s="4"/>
      <c r="T40" s="4"/>
      <c r="U40" s="4" t="s">
        <v>387</v>
      </c>
      <c r="V40" s="23"/>
      <c r="W40" s="23"/>
      <c r="X40" s="23"/>
      <c r="Y40" s="23"/>
      <c r="Z40" s="23"/>
      <c r="AA40" s="23"/>
      <c r="AB40" s="23"/>
      <c r="AC40" s="4" t="s">
        <v>394</v>
      </c>
      <c r="AD40" s="26" t="n">
        <f aca="false">COUNTA(V40:AA40)</f>
        <v>0</v>
      </c>
      <c r="AE40" s="27"/>
      <c r="AF40" s="27" t="s">
        <v>34</v>
      </c>
      <c r="AG40" s="28"/>
      <c r="AH40" s="27"/>
      <c r="AI40" s="27"/>
      <c r="AJ40" s="27"/>
      <c r="AK40" s="27"/>
      <c r="AL40" s="28"/>
      <c r="AM40" s="28"/>
      <c r="AN40" s="29"/>
      <c r="AO40" s="4" t="str">
        <f aca="false">IFERROR(INDEX(Playbook!$C$4:$C$17,MATCH($AF40,Playbook!$A$4:$A$17,0)),"")</f>
        <v>Read the row: tier, segment, trigger, reason we lose them. Check contact coverage; if 0, enrich before anything else.</v>
      </c>
      <c r="AP40" s="23" t="str">
        <f aca="false">IFERROR(INDEX(Playbook!$D$4:$D$17,MATCH($AF40,Playbook!$A$4:$A$17,0)),"")</f>
        <v>—</v>
      </c>
      <c r="AQ40" s="4" t="str">
        <f aca="false">IFERROR(INDEX(Playbook!$E$4:$E$17,MATCH($AF40,Playbook!$A$4:$A$17,0)),"")</f>
        <v>Row read and a contact channel exists</v>
      </c>
      <c r="AR40" s="30" t="n">
        <f aca="false">IFERROR(INDEX(Playbook!$G$4:$G$17,MATCH($AF40,Playbook!$A$4:$A$17,0)),0)</f>
        <v>0</v>
      </c>
      <c r="AS40" s="31" t="n">
        <f aca="false">IFERROR(INDEX('Pricing &amp; Pilot'!$D$4:$D$6,MATCH($D40,'Pricing &amp; Pilot'!$A$4:$A$6,0)),0)</f>
        <v>0</v>
      </c>
      <c r="AT40" s="31" t="n">
        <f aca="false">AS40*AR40</f>
        <v>0</v>
      </c>
      <c r="AU40" s="23" t="str">
        <f aca="true">IF(AL40="","",TODAY()-AL40)</f>
        <v/>
      </c>
      <c r="AV40" s="23" t="str">
        <f aca="true">IF(AM40="","",IF(AND(AM40&lt;TODAY(),$AF40&lt;&gt;"Customer",$AF40&lt;&gt;"Lost",$AF40&lt;&gt;"Not a fit"),"OVERDUE",""))</f>
        <v/>
      </c>
      <c r="AW40" s="23" t="str">
        <f aca="false">IF(AV40="OVERDUE","RED",IF($AF40="Not started","—",IF($AF40="Customer","GREEN",IF(OR($AF40="Lost",$AF40="Not a fit"),"CLOSED","AMBER"))))</f>
        <v>—</v>
      </c>
    </row>
    <row r="41" customFormat="false" ht="48" hidden="false" customHeight="true" outlineLevel="0" collapsed="false">
      <c r="A41" s="23" t="n">
        <v>40</v>
      </c>
      <c r="B41" s="33" t="s">
        <v>380</v>
      </c>
      <c r="C41" s="23" t="str">
        <f aca="false">IF(OR(B41="A",B41="B"),"Yes","No")</f>
        <v>No</v>
      </c>
      <c r="D41" s="23"/>
      <c r="E41" s="23" t="s">
        <v>395</v>
      </c>
      <c r="F41" s="23" t="s">
        <v>396</v>
      </c>
      <c r="G41" s="23"/>
      <c r="H41" s="23" t="s">
        <v>397</v>
      </c>
      <c r="I41" s="4" t="s">
        <v>398</v>
      </c>
      <c r="J41" s="23" t="s">
        <v>133</v>
      </c>
      <c r="K41" s="23" t="s">
        <v>364</v>
      </c>
      <c r="L41" s="23" t="s">
        <v>134</v>
      </c>
      <c r="M41" s="25" t="n">
        <v>55.6</v>
      </c>
      <c r="N41" s="23" t="s">
        <v>135</v>
      </c>
      <c r="O41" s="23" t="s">
        <v>384</v>
      </c>
      <c r="P41" s="4" t="s">
        <v>399</v>
      </c>
      <c r="Q41" s="4" t="s">
        <v>155</v>
      </c>
      <c r="R41" s="4" t="s">
        <v>400</v>
      </c>
      <c r="S41" s="4"/>
      <c r="T41" s="4"/>
      <c r="U41" s="4" t="s">
        <v>401</v>
      </c>
      <c r="V41" s="23"/>
      <c r="W41" s="23"/>
      <c r="X41" s="23"/>
      <c r="Y41" s="23"/>
      <c r="Z41" s="23"/>
      <c r="AA41" s="23"/>
      <c r="AB41" s="23"/>
      <c r="AC41" s="4" t="s">
        <v>402</v>
      </c>
      <c r="AD41" s="26" t="n">
        <f aca="false">COUNTA(V41:AA41)</f>
        <v>0</v>
      </c>
      <c r="AE41" s="27"/>
      <c r="AF41" s="27" t="s">
        <v>34</v>
      </c>
      <c r="AG41" s="28"/>
      <c r="AH41" s="27"/>
      <c r="AI41" s="27"/>
      <c r="AJ41" s="27"/>
      <c r="AK41" s="27"/>
      <c r="AL41" s="28"/>
      <c r="AM41" s="28"/>
      <c r="AN41" s="29"/>
      <c r="AO41" s="4" t="str">
        <f aca="false">IFERROR(INDEX(Playbook!$C$4:$C$17,MATCH($AF41,Playbook!$A$4:$A$17,0)),"")</f>
        <v>Read the row: tier, segment, trigger, reason we lose them. Check contact coverage; if 0, enrich before anything else.</v>
      </c>
      <c r="AP41" s="23" t="str">
        <f aca="false">IFERROR(INDEX(Playbook!$D$4:$D$17,MATCH($AF41,Playbook!$A$4:$A$17,0)),"")</f>
        <v>—</v>
      </c>
      <c r="AQ41" s="4" t="str">
        <f aca="false">IFERROR(INDEX(Playbook!$E$4:$E$17,MATCH($AF41,Playbook!$A$4:$A$17,0)),"")</f>
        <v>Row read and a contact channel exists</v>
      </c>
      <c r="AR41" s="30" t="n">
        <f aca="false">IFERROR(INDEX(Playbook!$G$4:$G$17,MATCH($AF41,Playbook!$A$4:$A$17,0)),0)</f>
        <v>0</v>
      </c>
      <c r="AS41" s="31" t="n">
        <f aca="false">IFERROR(INDEX('Pricing &amp; Pilot'!$D$4:$D$6,MATCH($D41,'Pricing &amp; Pilot'!$A$4:$A$6,0)),0)</f>
        <v>0</v>
      </c>
      <c r="AT41" s="31" t="n">
        <f aca="false">AS41*AR41</f>
        <v>0</v>
      </c>
      <c r="AU41" s="23" t="str">
        <f aca="true">IF(AL41="","",TODAY()-AL41)</f>
        <v/>
      </c>
      <c r="AV41" s="23" t="str">
        <f aca="true">IF(AM41="","",IF(AND(AM41&lt;TODAY(),$AF41&lt;&gt;"Customer",$AF41&lt;&gt;"Lost",$AF41&lt;&gt;"Not a fit"),"OVERDUE",""))</f>
        <v/>
      </c>
      <c r="AW41" s="23" t="str">
        <f aca="false">IF(AV41="OVERDUE","RED",IF($AF41="Not started","—",IF($AF41="Customer","GREEN",IF(OR($AF41="Lost",$AF41="Not a fit"),"CLOSED","AMBER"))))</f>
        <v>—</v>
      </c>
    </row>
    <row r="42" customFormat="false" ht="48" hidden="false" customHeight="true" outlineLevel="0" collapsed="false">
      <c r="A42" s="23" t="n">
        <v>41</v>
      </c>
      <c r="B42" s="33" t="s">
        <v>380</v>
      </c>
      <c r="C42" s="23" t="str">
        <f aca="false">IF(OR(B42="A",B42="B"),"Yes","No")</f>
        <v>No</v>
      </c>
      <c r="D42" s="23"/>
      <c r="E42" s="23" t="s">
        <v>403</v>
      </c>
      <c r="F42" s="23" t="s">
        <v>404</v>
      </c>
      <c r="G42" s="23" t="s">
        <v>405</v>
      </c>
      <c r="H42" s="23" t="s">
        <v>406</v>
      </c>
      <c r="I42" s="4" t="s">
        <v>407</v>
      </c>
      <c r="J42" s="23" t="s">
        <v>133</v>
      </c>
      <c r="K42" s="23" t="s">
        <v>134</v>
      </c>
      <c r="L42" s="23" t="s">
        <v>134</v>
      </c>
      <c r="M42" s="25" t="n">
        <v>55.6</v>
      </c>
      <c r="N42" s="23" t="s">
        <v>135</v>
      </c>
      <c r="O42" s="23" t="s">
        <v>384</v>
      </c>
      <c r="P42" s="4" t="s">
        <v>385</v>
      </c>
      <c r="Q42" s="4" t="s">
        <v>408</v>
      </c>
      <c r="R42" s="4" t="s">
        <v>386</v>
      </c>
      <c r="S42" s="4"/>
      <c r="T42" s="4"/>
      <c r="U42" s="4" t="s">
        <v>387</v>
      </c>
      <c r="V42" s="23" t="s">
        <v>409</v>
      </c>
      <c r="W42" s="23"/>
      <c r="X42" s="23"/>
      <c r="Y42" s="23"/>
      <c r="Z42" s="23"/>
      <c r="AA42" s="23"/>
      <c r="AB42" s="23"/>
      <c r="AC42" s="4" t="s">
        <v>410</v>
      </c>
      <c r="AD42" s="26" t="n">
        <f aca="false">COUNTA(V42:AA42)</f>
        <v>1</v>
      </c>
      <c r="AE42" s="27"/>
      <c r="AF42" s="27" t="s">
        <v>34</v>
      </c>
      <c r="AG42" s="28"/>
      <c r="AH42" s="27"/>
      <c r="AI42" s="27"/>
      <c r="AJ42" s="27"/>
      <c r="AK42" s="27"/>
      <c r="AL42" s="28"/>
      <c r="AM42" s="28"/>
      <c r="AN42" s="29"/>
      <c r="AO42" s="4" t="str">
        <f aca="false">IFERROR(INDEX(Playbook!$C$4:$C$17,MATCH($AF42,Playbook!$A$4:$A$17,0)),"")</f>
        <v>Read the row: tier, segment, trigger, reason we lose them. Check contact coverage; if 0, enrich before anything else.</v>
      </c>
      <c r="AP42" s="23" t="str">
        <f aca="false">IFERROR(INDEX(Playbook!$D$4:$D$17,MATCH($AF42,Playbook!$A$4:$A$17,0)),"")</f>
        <v>—</v>
      </c>
      <c r="AQ42" s="4" t="str">
        <f aca="false">IFERROR(INDEX(Playbook!$E$4:$E$17,MATCH($AF42,Playbook!$A$4:$A$17,0)),"")</f>
        <v>Row read and a contact channel exists</v>
      </c>
      <c r="AR42" s="30" t="n">
        <f aca="false">IFERROR(INDEX(Playbook!$G$4:$G$17,MATCH($AF42,Playbook!$A$4:$A$17,0)),0)</f>
        <v>0</v>
      </c>
      <c r="AS42" s="31" t="n">
        <f aca="false">IFERROR(INDEX('Pricing &amp; Pilot'!$D$4:$D$6,MATCH($D42,'Pricing &amp; Pilot'!$A$4:$A$6,0)),0)</f>
        <v>0</v>
      </c>
      <c r="AT42" s="31" t="n">
        <f aca="false">AS42*AR42</f>
        <v>0</v>
      </c>
      <c r="AU42" s="23" t="str">
        <f aca="true">IF(AL42="","",TODAY()-AL42)</f>
        <v/>
      </c>
      <c r="AV42" s="23" t="str">
        <f aca="true">IF(AM42="","",IF(AND(AM42&lt;TODAY(),$AF42&lt;&gt;"Customer",$AF42&lt;&gt;"Lost",$AF42&lt;&gt;"Not a fit"),"OVERDUE",""))</f>
        <v/>
      </c>
      <c r="AW42" s="23" t="str">
        <f aca="false">IF(AV42="OVERDUE","RED",IF($AF42="Not started","—",IF($AF42="Customer","GREEN",IF(OR($AF42="Lost",$AF42="Not a fit"),"CLOSED","AMBER"))))</f>
        <v>—</v>
      </c>
    </row>
    <row r="43" customFormat="false" ht="48" hidden="false" customHeight="true" outlineLevel="0" collapsed="false">
      <c r="A43" s="23" t="n">
        <v>42</v>
      </c>
      <c r="B43" s="33" t="s">
        <v>380</v>
      </c>
      <c r="C43" s="23" t="str">
        <f aca="false">IF(OR(B43="A",B43="B"),"Yes","No")</f>
        <v>No</v>
      </c>
      <c r="D43" s="23"/>
      <c r="E43" s="23" t="s">
        <v>411</v>
      </c>
      <c r="F43" s="23" t="s">
        <v>412</v>
      </c>
      <c r="G43" s="23"/>
      <c r="H43" s="23" t="s">
        <v>406</v>
      </c>
      <c r="I43" s="4" t="s">
        <v>407</v>
      </c>
      <c r="J43" s="23" t="s">
        <v>133</v>
      </c>
      <c r="K43" s="23" t="s">
        <v>413</v>
      </c>
      <c r="L43" s="23" t="s">
        <v>134</v>
      </c>
      <c r="M43" s="25" t="n">
        <v>55.6</v>
      </c>
      <c r="N43" s="23" t="s">
        <v>135</v>
      </c>
      <c r="O43" s="23" t="s">
        <v>384</v>
      </c>
      <c r="P43" s="4" t="s">
        <v>385</v>
      </c>
      <c r="Q43" s="4" t="s">
        <v>155</v>
      </c>
      <c r="R43" s="4" t="s">
        <v>386</v>
      </c>
      <c r="S43" s="4"/>
      <c r="T43" s="4"/>
      <c r="U43" s="4" t="s">
        <v>387</v>
      </c>
      <c r="V43" s="23" t="s">
        <v>414</v>
      </c>
      <c r="W43" s="23"/>
      <c r="X43" s="23"/>
      <c r="Y43" s="23"/>
      <c r="Z43" s="23"/>
      <c r="AA43" s="23"/>
      <c r="AB43" s="23"/>
      <c r="AC43" s="4" t="s">
        <v>415</v>
      </c>
      <c r="AD43" s="26" t="n">
        <f aca="false">COUNTA(V43:AA43)</f>
        <v>1</v>
      </c>
      <c r="AE43" s="27"/>
      <c r="AF43" s="27" t="s">
        <v>34</v>
      </c>
      <c r="AG43" s="28"/>
      <c r="AH43" s="27"/>
      <c r="AI43" s="27"/>
      <c r="AJ43" s="27"/>
      <c r="AK43" s="27"/>
      <c r="AL43" s="28"/>
      <c r="AM43" s="28"/>
      <c r="AN43" s="29"/>
      <c r="AO43" s="4" t="str">
        <f aca="false">IFERROR(INDEX(Playbook!$C$4:$C$17,MATCH($AF43,Playbook!$A$4:$A$17,0)),"")</f>
        <v>Read the row: tier, segment, trigger, reason we lose them. Check contact coverage; if 0, enrich before anything else.</v>
      </c>
      <c r="AP43" s="23" t="str">
        <f aca="false">IFERROR(INDEX(Playbook!$D$4:$D$17,MATCH($AF43,Playbook!$A$4:$A$17,0)),"")</f>
        <v>—</v>
      </c>
      <c r="AQ43" s="4" t="str">
        <f aca="false">IFERROR(INDEX(Playbook!$E$4:$E$17,MATCH($AF43,Playbook!$A$4:$A$17,0)),"")</f>
        <v>Row read and a contact channel exists</v>
      </c>
      <c r="AR43" s="30" t="n">
        <f aca="false">IFERROR(INDEX(Playbook!$G$4:$G$17,MATCH($AF43,Playbook!$A$4:$A$17,0)),0)</f>
        <v>0</v>
      </c>
      <c r="AS43" s="31" t="n">
        <f aca="false">IFERROR(INDEX('Pricing &amp; Pilot'!$D$4:$D$6,MATCH($D43,'Pricing &amp; Pilot'!$A$4:$A$6,0)),0)</f>
        <v>0</v>
      </c>
      <c r="AT43" s="31" t="n">
        <f aca="false">AS43*AR43</f>
        <v>0</v>
      </c>
      <c r="AU43" s="23" t="str">
        <f aca="true">IF(AL43="","",TODAY()-AL43)</f>
        <v/>
      </c>
      <c r="AV43" s="23" t="str">
        <f aca="true">IF(AM43="","",IF(AND(AM43&lt;TODAY(),$AF43&lt;&gt;"Customer",$AF43&lt;&gt;"Lost",$AF43&lt;&gt;"Not a fit"),"OVERDUE",""))</f>
        <v/>
      </c>
      <c r="AW43" s="23" t="str">
        <f aca="false">IF(AV43="OVERDUE","RED",IF($AF43="Not started","—",IF($AF43="Customer","GREEN",IF(OR($AF43="Lost",$AF43="Not a fit"),"CLOSED","AMBER"))))</f>
        <v>—</v>
      </c>
    </row>
    <row r="44" customFormat="false" ht="48" hidden="false" customHeight="true" outlineLevel="0" collapsed="false">
      <c r="A44" s="23" t="n">
        <v>43</v>
      </c>
      <c r="B44" s="33" t="s">
        <v>380</v>
      </c>
      <c r="C44" s="23" t="str">
        <f aca="false">IF(OR(B44="A",B44="B"),"Yes","No")</f>
        <v>No</v>
      </c>
      <c r="D44" s="23"/>
      <c r="E44" s="23" t="s">
        <v>416</v>
      </c>
      <c r="F44" s="23" t="s">
        <v>417</v>
      </c>
      <c r="G44" s="23" t="s">
        <v>418</v>
      </c>
      <c r="H44" s="23" t="s">
        <v>406</v>
      </c>
      <c r="I44" s="4" t="s">
        <v>407</v>
      </c>
      <c r="J44" s="23" t="s">
        <v>133</v>
      </c>
      <c r="K44" s="23" t="s">
        <v>274</v>
      </c>
      <c r="L44" s="23" t="s">
        <v>134</v>
      </c>
      <c r="M44" s="25" t="n">
        <v>55.6</v>
      </c>
      <c r="N44" s="23" t="s">
        <v>135</v>
      </c>
      <c r="O44" s="23" t="s">
        <v>384</v>
      </c>
      <c r="P44" s="4" t="s">
        <v>385</v>
      </c>
      <c r="Q44" s="4" t="s">
        <v>155</v>
      </c>
      <c r="R44" s="4" t="s">
        <v>386</v>
      </c>
      <c r="S44" s="4"/>
      <c r="T44" s="4"/>
      <c r="U44" s="4" t="s">
        <v>387</v>
      </c>
      <c r="V44" s="23"/>
      <c r="W44" s="23"/>
      <c r="X44" s="23"/>
      <c r="Y44" s="23"/>
      <c r="Z44" s="23"/>
      <c r="AA44" s="23"/>
      <c r="AB44" s="23"/>
      <c r="AC44" s="4" t="s">
        <v>419</v>
      </c>
      <c r="AD44" s="26" t="n">
        <f aca="false">COUNTA(V44:AA44)</f>
        <v>0</v>
      </c>
      <c r="AE44" s="27"/>
      <c r="AF44" s="27" t="s">
        <v>34</v>
      </c>
      <c r="AG44" s="28"/>
      <c r="AH44" s="27"/>
      <c r="AI44" s="27"/>
      <c r="AJ44" s="27"/>
      <c r="AK44" s="27"/>
      <c r="AL44" s="28"/>
      <c r="AM44" s="28"/>
      <c r="AN44" s="29"/>
      <c r="AO44" s="4" t="str">
        <f aca="false">IFERROR(INDEX(Playbook!$C$4:$C$17,MATCH($AF44,Playbook!$A$4:$A$17,0)),"")</f>
        <v>Read the row: tier, segment, trigger, reason we lose them. Check contact coverage; if 0, enrich before anything else.</v>
      </c>
      <c r="AP44" s="23" t="str">
        <f aca="false">IFERROR(INDEX(Playbook!$D$4:$D$17,MATCH($AF44,Playbook!$A$4:$A$17,0)),"")</f>
        <v>—</v>
      </c>
      <c r="AQ44" s="4" t="str">
        <f aca="false">IFERROR(INDEX(Playbook!$E$4:$E$17,MATCH($AF44,Playbook!$A$4:$A$17,0)),"")</f>
        <v>Row read and a contact channel exists</v>
      </c>
      <c r="AR44" s="30" t="n">
        <f aca="false">IFERROR(INDEX(Playbook!$G$4:$G$17,MATCH($AF44,Playbook!$A$4:$A$17,0)),0)</f>
        <v>0</v>
      </c>
      <c r="AS44" s="31" t="n">
        <f aca="false">IFERROR(INDEX('Pricing &amp; Pilot'!$D$4:$D$6,MATCH($D44,'Pricing &amp; Pilot'!$A$4:$A$6,0)),0)</f>
        <v>0</v>
      </c>
      <c r="AT44" s="31" t="n">
        <f aca="false">AS44*AR44</f>
        <v>0</v>
      </c>
      <c r="AU44" s="23" t="str">
        <f aca="true">IF(AL44="","",TODAY()-AL44)</f>
        <v/>
      </c>
      <c r="AV44" s="23" t="str">
        <f aca="true">IF(AM44="","",IF(AND(AM44&lt;TODAY(),$AF44&lt;&gt;"Customer",$AF44&lt;&gt;"Lost",$AF44&lt;&gt;"Not a fit"),"OVERDUE",""))</f>
        <v/>
      </c>
      <c r="AW44" s="23" t="str">
        <f aca="false">IF(AV44="OVERDUE","RED",IF($AF44="Not started","—",IF($AF44="Customer","GREEN",IF(OR($AF44="Lost",$AF44="Not a fit"),"CLOSED","AMBER"))))</f>
        <v>—</v>
      </c>
    </row>
    <row r="45" customFormat="false" ht="48" hidden="false" customHeight="true" outlineLevel="0" collapsed="false">
      <c r="A45" s="23" t="n">
        <v>44</v>
      </c>
      <c r="B45" s="33" t="s">
        <v>380</v>
      </c>
      <c r="C45" s="23" t="str">
        <f aca="false">IF(OR(B45="A",B45="B"),"Yes","No")</f>
        <v>No</v>
      </c>
      <c r="D45" s="23"/>
      <c r="E45" s="23" t="s">
        <v>420</v>
      </c>
      <c r="F45" s="23" t="s">
        <v>421</v>
      </c>
      <c r="G45" s="23"/>
      <c r="H45" s="23"/>
      <c r="I45" s="4"/>
      <c r="J45" s="23" t="s">
        <v>133</v>
      </c>
      <c r="K45" s="23" t="s">
        <v>274</v>
      </c>
      <c r="L45" s="23" t="s">
        <v>134</v>
      </c>
      <c r="M45" s="25" t="n">
        <v>51.6</v>
      </c>
      <c r="N45" s="23" t="s">
        <v>422</v>
      </c>
      <c r="O45" s="23" t="s">
        <v>384</v>
      </c>
      <c r="P45" s="4" t="s">
        <v>423</v>
      </c>
      <c r="Q45" s="4" t="s">
        <v>155</v>
      </c>
      <c r="R45" s="4" t="s">
        <v>386</v>
      </c>
      <c r="S45" s="4"/>
      <c r="T45" s="4"/>
      <c r="U45" s="4" t="s">
        <v>387</v>
      </c>
      <c r="V45" s="23"/>
      <c r="W45" s="23"/>
      <c r="X45" s="23"/>
      <c r="Y45" s="23"/>
      <c r="Z45" s="23"/>
      <c r="AA45" s="23"/>
      <c r="AB45" s="23"/>
      <c r="AC45" s="4" t="s">
        <v>424</v>
      </c>
      <c r="AD45" s="26" t="n">
        <f aca="false">COUNTA(V45:AA45)</f>
        <v>0</v>
      </c>
      <c r="AE45" s="27"/>
      <c r="AF45" s="27" t="s">
        <v>34</v>
      </c>
      <c r="AG45" s="28"/>
      <c r="AH45" s="27"/>
      <c r="AI45" s="27"/>
      <c r="AJ45" s="27"/>
      <c r="AK45" s="27"/>
      <c r="AL45" s="28"/>
      <c r="AM45" s="28"/>
      <c r="AN45" s="29"/>
      <c r="AO45" s="4" t="str">
        <f aca="false">IFERROR(INDEX(Playbook!$C$4:$C$17,MATCH($AF45,Playbook!$A$4:$A$17,0)),"")</f>
        <v>Read the row: tier, segment, trigger, reason we lose them. Check contact coverage; if 0, enrich before anything else.</v>
      </c>
      <c r="AP45" s="23" t="str">
        <f aca="false">IFERROR(INDEX(Playbook!$D$4:$D$17,MATCH($AF45,Playbook!$A$4:$A$17,0)),"")</f>
        <v>—</v>
      </c>
      <c r="AQ45" s="4" t="str">
        <f aca="false">IFERROR(INDEX(Playbook!$E$4:$E$17,MATCH($AF45,Playbook!$A$4:$A$17,0)),"")</f>
        <v>Row read and a contact channel exists</v>
      </c>
      <c r="AR45" s="30" t="n">
        <f aca="false">IFERROR(INDEX(Playbook!$G$4:$G$17,MATCH($AF45,Playbook!$A$4:$A$17,0)),0)</f>
        <v>0</v>
      </c>
      <c r="AS45" s="31" t="n">
        <f aca="false">IFERROR(INDEX('Pricing &amp; Pilot'!$D$4:$D$6,MATCH($D45,'Pricing &amp; Pilot'!$A$4:$A$6,0)),0)</f>
        <v>0</v>
      </c>
      <c r="AT45" s="31" t="n">
        <f aca="false">AS45*AR45</f>
        <v>0</v>
      </c>
      <c r="AU45" s="23" t="str">
        <f aca="true">IF(AL45="","",TODAY()-AL45)</f>
        <v/>
      </c>
      <c r="AV45" s="23" t="str">
        <f aca="true">IF(AM45="","",IF(AND(AM45&lt;TODAY(),$AF45&lt;&gt;"Customer",$AF45&lt;&gt;"Lost",$AF45&lt;&gt;"Not a fit"),"OVERDUE",""))</f>
        <v/>
      </c>
      <c r="AW45" s="23" t="str">
        <f aca="false">IF(AV45="OVERDUE","RED",IF($AF45="Not started","—",IF($AF45="Customer","GREEN",IF(OR($AF45="Lost",$AF45="Not a fit"),"CLOSED","AMBER"))))</f>
        <v>—</v>
      </c>
    </row>
    <row r="46" customFormat="false" ht="48" hidden="false" customHeight="true" outlineLevel="0" collapsed="false">
      <c r="A46" s="23" t="n">
        <v>45</v>
      </c>
      <c r="B46" s="33" t="s">
        <v>380</v>
      </c>
      <c r="C46" s="23" t="str">
        <f aca="false">IF(OR(B46="A",B46="B"),"Yes","No")</f>
        <v>No</v>
      </c>
      <c r="D46" s="23"/>
      <c r="E46" s="23" t="s">
        <v>425</v>
      </c>
      <c r="F46" s="23" t="s">
        <v>426</v>
      </c>
      <c r="G46" s="23"/>
      <c r="H46" s="23"/>
      <c r="I46" s="4"/>
      <c r="J46" s="23" t="s">
        <v>133</v>
      </c>
      <c r="K46" s="23" t="s">
        <v>346</v>
      </c>
      <c r="L46" s="23" t="s">
        <v>134</v>
      </c>
      <c r="M46" s="25" t="n">
        <v>51.6</v>
      </c>
      <c r="N46" s="23" t="s">
        <v>422</v>
      </c>
      <c r="O46" s="23" t="s">
        <v>384</v>
      </c>
      <c r="P46" s="4" t="s">
        <v>423</v>
      </c>
      <c r="Q46" s="4" t="s">
        <v>155</v>
      </c>
      <c r="R46" s="4" t="s">
        <v>386</v>
      </c>
      <c r="S46" s="4"/>
      <c r="T46" s="4"/>
      <c r="U46" s="4" t="s">
        <v>387</v>
      </c>
      <c r="V46" s="23"/>
      <c r="W46" s="23"/>
      <c r="X46" s="23"/>
      <c r="Y46" s="23"/>
      <c r="Z46" s="23"/>
      <c r="AA46" s="23"/>
      <c r="AB46" s="23"/>
      <c r="AC46" s="4" t="s">
        <v>427</v>
      </c>
      <c r="AD46" s="26" t="n">
        <f aca="false">COUNTA(V46:AA46)</f>
        <v>0</v>
      </c>
      <c r="AE46" s="27"/>
      <c r="AF46" s="27" t="s">
        <v>34</v>
      </c>
      <c r="AG46" s="28"/>
      <c r="AH46" s="27"/>
      <c r="AI46" s="27"/>
      <c r="AJ46" s="27"/>
      <c r="AK46" s="27"/>
      <c r="AL46" s="28"/>
      <c r="AM46" s="28"/>
      <c r="AN46" s="29"/>
      <c r="AO46" s="4" t="str">
        <f aca="false">IFERROR(INDEX(Playbook!$C$4:$C$17,MATCH($AF46,Playbook!$A$4:$A$17,0)),"")</f>
        <v>Read the row: tier, segment, trigger, reason we lose them. Check contact coverage; if 0, enrich before anything else.</v>
      </c>
      <c r="AP46" s="23" t="str">
        <f aca="false">IFERROR(INDEX(Playbook!$D$4:$D$17,MATCH($AF46,Playbook!$A$4:$A$17,0)),"")</f>
        <v>—</v>
      </c>
      <c r="AQ46" s="4" t="str">
        <f aca="false">IFERROR(INDEX(Playbook!$E$4:$E$17,MATCH($AF46,Playbook!$A$4:$A$17,0)),"")</f>
        <v>Row read and a contact channel exists</v>
      </c>
      <c r="AR46" s="30" t="n">
        <f aca="false">IFERROR(INDEX(Playbook!$G$4:$G$17,MATCH($AF46,Playbook!$A$4:$A$17,0)),0)</f>
        <v>0</v>
      </c>
      <c r="AS46" s="31" t="n">
        <f aca="false">IFERROR(INDEX('Pricing &amp; Pilot'!$D$4:$D$6,MATCH($D46,'Pricing &amp; Pilot'!$A$4:$A$6,0)),0)</f>
        <v>0</v>
      </c>
      <c r="AT46" s="31" t="n">
        <f aca="false">AS46*AR46</f>
        <v>0</v>
      </c>
      <c r="AU46" s="23" t="str">
        <f aca="true">IF(AL46="","",TODAY()-AL46)</f>
        <v/>
      </c>
      <c r="AV46" s="23" t="str">
        <f aca="true">IF(AM46="","",IF(AND(AM46&lt;TODAY(),$AF46&lt;&gt;"Customer",$AF46&lt;&gt;"Lost",$AF46&lt;&gt;"Not a fit"),"OVERDUE",""))</f>
        <v/>
      </c>
      <c r="AW46" s="23" t="str">
        <f aca="false">IF(AV46="OVERDUE","RED",IF($AF46="Not started","—",IF($AF46="Customer","GREEN",IF(OR($AF46="Lost",$AF46="Not a fit"),"CLOSED","AMBER"))))</f>
        <v>—</v>
      </c>
    </row>
    <row r="47" customFormat="false" ht="48" hidden="false" customHeight="true" outlineLevel="0" collapsed="false">
      <c r="A47" s="23" t="n">
        <v>46</v>
      </c>
      <c r="B47" s="33" t="s">
        <v>380</v>
      </c>
      <c r="C47" s="23" t="str">
        <f aca="false">IF(OR(B47="A",B47="B"),"Yes","No")</f>
        <v>No</v>
      </c>
      <c r="D47" s="23"/>
      <c r="E47" s="23" t="s">
        <v>428</v>
      </c>
      <c r="F47" s="23" t="s">
        <v>429</v>
      </c>
      <c r="G47" s="23" t="s">
        <v>430</v>
      </c>
      <c r="H47" s="23"/>
      <c r="I47" s="4"/>
      <c r="J47" s="23" t="s">
        <v>133</v>
      </c>
      <c r="K47" s="23" t="s">
        <v>287</v>
      </c>
      <c r="L47" s="23" t="s">
        <v>134</v>
      </c>
      <c r="M47" s="25" t="n">
        <v>51.6</v>
      </c>
      <c r="N47" s="23" t="s">
        <v>422</v>
      </c>
      <c r="O47" s="23" t="s">
        <v>384</v>
      </c>
      <c r="P47" s="4" t="s">
        <v>423</v>
      </c>
      <c r="Q47" s="4" t="s">
        <v>155</v>
      </c>
      <c r="R47" s="4" t="s">
        <v>386</v>
      </c>
      <c r="S47" s="4"/>
      <c r="T47" s="4"/>
      <c r="U47" s="4" t="s">
        <v>387</v>
      </c>
      <c r="V47" s="23" t="s">
        <v>431</v>
      </c>
      <c r="W47" s="23"/>
      <c r="X47" s="23" t="s">
        <v>432</v>
      </c>
      <c r="Y47" s="23"/>
      <c r="Z47" s="23"/>
      <c r="AA47" s="23"/>
      <c r="AB47" s="23"/>
      <c r="AC47" s="4" t="s">
        <v>433</v>
      </c>
      <c r="AD47" s="26" t="n">
        <f aca="false">COUNTA(V47:AA47)</f>
        <v>2</v>
      </c>
      <c r="AE47" s="27"/>
      <c r="AF47" s="27" t="s">
        <v>34</v>
      </c>
      <c r="AG47" s="28"/>
      <c r="AH47" s="27"/>
      <c r="AI47" s="27"/>
      <c r="AJ47" s="27"/>
      <c r="AK47" s="27"/>
      <c r="AL47" s="28"/>
      <c r="AM47" s="28"/>
      <c r="AN47" s="29"/>
      <c r="AO47" s="4" t="str">
        <f aca="false">IFERROR(INDEX(Playbook!$C$4:$C$17,MATCH($AF47,Playbook!$A$4:$A$17,0)),"")</f>
        <v>Read the row: tier, segment, trigger, reason we lose them. Check contact coverage; if 0, enrich before anything else.</v>
      </c>
      <c r="AP47" s="23" t="str">
        <f aca="false">IFERROR(INDEX(Playbook!$D$4:$D$17,MATCH($AF47,Playbook!$A$4:$A$17,0)),"")</f>
        <v>—</v>
      </c>
      <c r="AQ47" s="4" t="str">
        <f aca="false">IFERROR(INDEX(Playbook!$E$4:$E$17,MATCH($AF47,Playbook!$A$4:$A$17,0)),"")</f>
        <v>Row read and a contact channel exists</v>
      </c>
      <c r="AR47" s="30" t="n">
        <f aca="false">IFERROR(INDEX(Playbook!$G$4:$G$17,MATCH($AF47,Playbook!$A$4:$A$17,0)),0)</f>
        <v>0</v>
      </c>
      <c r="AS47" s="31" t="n">
        <f aca="false">IFERROR(INDEX('Pricing &amp; Pilot'!$D$4:$D$6,MATCH($D47,'Pricing &amp; Pilot'!$A$4:$A$6,0)),0)</f>
        <v>0</v>
      </c>
      <c r="AT47" s="31" t="n">
        <f aca="false">AS47*AR47</f>
        <v>0</v>
      </c>
      <c r="AU47" s="23" t="str">
        <f aca="true">IF(AL47="","",TODAY()-AL47)</f>
        <v/>
      </c>
      <c r="AV47" s="23" t="str">
        <f aca="true">IF(AM47="","",IF(AND(AM47&lt;TODAY(),$AF47&lt;&gt;"Customer",$AF47&lt;&gt;"Lost",$AF47&lt;&gt;"Not a fit"),"OVERDUE",""))</f>
        <v/>
      </c>
      <c r="AW47" s="23" t="str">
        <f aca="false">IF(AV47="OVERDUE","RED",IF($AF47="Not started","—",IF($AF47="Customer","GREEN",IF(OR($AF47="Lost",$AF47="Not a fit"),"CLOSED","AMBER"))))</f>
        <v>—</v>
      </c>
    </row>
    <row r="48" customFormat="false" ht="48" hidden="false" customHeight="true" outlineLevel="0" collapsed="false">
      <c r="A48" s="23" t="n">
        <v>47</v>
      </c>
      <c r="B48" s="33" t="s">
        <v>380</v>
      </c>
      <c r="C48" s="23" t="str">
        <f aca="false">IF(OR(B48="A",B48="B"),"Yes","No")</f>
        <v>No</v>
      </c>
      <c r="D48" s="23"/>
      <c r="E48" s="23" t="s">
        <v>434</v>
      </c>
      <c r="F48" s="23" t="s">
        <v>435</v>
      </c>
      <c r="G48" s="23"/>
      <c r="H48" s="23"/>
      <c r="I48" s="4"/>
      <c r="J48" s="23" t="s">
        <v>133</v>
      </c>
      <c r="K48" s="23" t="s">
        <v>134</v>
      </c>
      <c r="L48" s="23" t="s">
        <v>134</v>
      </c>
      <c r="M48" s="25" t="n">
        <v>47.6</v>
      </c>
      <c r="N48" s="23" t="s">
        <v>422</v>
      </c>
      <c r="O48" s="23" t="s">
        <v>436</v>
      </c>
      <c r="P48" s="4"/>
      <c r="Q48" s="4" t="s">
        <v>155</v>
      </c>
      <c r="R48" s="4" t="s">
        <v>437</v>
      </c>
      <c r="S48" s="4"/>
      <c r="T48" s="4"/>
      <c r="U48" s="4" t="s">
        <v>438</v>
      </c>
      <c r="V48" s="23"/>
      <c r="W48" s="23"/>
      <c r="X48" s="23"/>
      <c r="Y48" s="23"/>
      <c r="Z48" s="23"/>
      <c r="AA48" s="23"/>
      <c r="AB48" s="23"/>
      <c r="AC48" s="4" t="s">
        <v>439</v>
      </c>
      <c r="AD48" s="26" t="n">
        <f aca="false">COUNTA(V48:AA48)</f>
        <v>0</v>
      </c>
      <c r="AE48" s="27"/>
      <c r="AF48" s="27" t="s">
        <v>34</v>
      </c>
      <c r="AG48" s="28"/>
      <c r="AH48" s="27"/>
      <c r="AI48" s="27"/>
      <c r="AJ48" s="27"/>
      <c r="AK48" s="27"/>
      <c r="AL48" s="28"/>
      <c r="AM48" s="28"/>
      <c r="AN48" s="29"/>
      <c r="AO48" s="4" t="str">
        <f aca="false">IFERROR(INDEX(Playbook!$C$4:$C$17,MATCH($AF48,Playbook!$A$4:$A$17,0)),"")</f>
        <v>Read the row: tier, segment, trigger, reason we lose them. Check contact coverage; if 0, enrich before anything else.</v>
      </c>
      <c r="AP48" s="23" t="str">
        <f aca="false">IFERROR(INDEX(Playbook!$D$4:$D$17,MATCH($AF48,Playbook!$A$4:$A$17,0)),"")</f>
        <v>—</v>
      </c>
      <c r="AQ48" s="4" t="str">
        <f aca="false">IFERROR(INDEX(Playbook!$E$4:$E$17,MATCH($AF48,Playbook!$A$4:$A$17,0)),"")</f>
        <v>Row read and a contact channel exists</v>
      </c>
      <c r="AR48" s="30" t="n">
        <f aca="false">IFERROR(INDEX(Playbook!$G$4:$G$17,MATCH($AF48,Playbook!$A$4:$A$17,0)),0)</f>
        <v>0</v>
      </c>
      <c r="AS48" s="31" t="n">
        <f aca="false">IFERROR(INDEX('Pricing &amp; Pilot'!$D$4:$D$6,MATCH($D48,'Pricing &amp; Pilot'!$A$4:$A$6,0)),0)</f>
        <v>0</v>
      </c>
      <c r="AT48" s="31" t="n">
        <f aca="false">AS48*AR48</f>
        <v>0</v>
      </c>
      <c r="AU48" s="23" t="str">
        <f aca="true">IF(AL48="","",TODAY()-AL48)</f>
        <v/>
      </c>
      <c r="AV48" s="23" t="str">
        <f aca="true">IF(AM48="","",IF(AND(AM48&lt;TODAY(),$AF48&lt;&gt;"Customer",$AF48&lt;&gt;"Lost",$AF48&lt;&gt;"Not a fit"),"OVERDUE",""))</f>
        <v/>
      </c>
      <c r="AW48" s="23" t="str">
        <f aca="false">IF(AV48="OVERDUE","RED",IF($AF48="Not started","—",IF($AF48="Customer","GREEN",IF(OR($AF48="Lost",$AF48="Not a fit"),"CLOSED","AMBER"))))</f>
        <v>—</v>
      </c>
    </row>
    <row r="49" customFormat="false" ht="48" hidden="false" customHeight="true" outlineLevel="0" collapsed="false">
      <c r="A49" s="23" t="n">
        <v>48</v>
      </c>
      <c r="B49" s="33" t="s">
        <v>380</v>
      </c>
      <c r="C49" s="23" t="str">
        <f aca="false">IF(OR(B49="A",B49="B"),"Yes","No")</f>
        <v>No</v>
      </c>
      <c r="D49" s="23"/>
      <c r="E49" s="23" t="s">
        <v>440</v>
      </c>
      <c r="F49" s="23" t="s">
        <v>441</v>
      </c>
      <c r="G49" s="23"/>
      <c r="H49" s="23"/>
      <c r="I49" s="4"/>
      <c r="J49" s="23" t="s">
        <v>133</v>
      </c>
      <c r="K49" s="23" t="s">
        <v>134</v>
      </c>
      <c r="L49" s="23" t="s">
        <v>134</v>
      </c>
      <c r="M49" s="25" t="n">
        <v>47.6</v>
      </c>
      <c r="N49" s="23" t="s">
        <v>422</v>
      </c>
      <c r="O49" s="23" t="s">
        <v>436</v>
      </c>
      <c r="P49" s="4"/>
      <c r="Q49" s="4" t="s">
        <v>155</v>
      </c>
      <c r="R49" s="4" t="s">
        <v>437</v>
      </c>
      <c r="S49" s="4"/>
      <c r="T49" s="4"/>
      <c r="U49" s="4" t="s">
        <v>438</v>
      </c>
      <c r="V49" s="23"/>
      <c r="W49" s="23"/>
      <c r="X49" s="23"/>
      <c r="Y49" s="23"/>
      <c r="Z49" s="23"/>
      <c r="AA49" s="23"/>
      <c r="AB49" s="23"/>
      <c r="AC49" s="4" t="s">
        <v>442</v>
      </c>
      <c r="AD49" s="26" t="n">
        <f aca="false">COUNTA(V49:AA49)</f>
        <v>0</v>
      </c>
      <c r="AE49" s="27"/>
      <c r="AF49" s="27" t="s">
        <v>34</v>
      </c>
      <c r="AG49" s="28"/>
      <c r="AH49" s="27"/>
      <c r="AI49" s="27"/>
      <c r="AJ49" s="27"/>
      <c r="AK49" s="27"/>
      <c r="AL49" s="28"/>
      <c r="AM49" s="28"/>
      <c r="AN49" s="29"/>
      <c r="AO49" s="4" t="str">
        <f aca="false">IFERROR(INDEX(Playbook!$C$4:$C$17,MATCH($AF49,Playbook!$A$4:$A$17,0)),"")</f>
        <v>Read the row: tier, segment, trigger, reason we lose them. Check contact coverage; if 0, enrich before anything else.</v>
      </c>
      <c r="AP49" s="23" t="str">
        <f aca="false">IFERROR(INDEX(Playbook!$D$4:$D$17,MATCH($AF49,Playbook!$A$4:$A$17,0)),"")</f>
        <v>—</v>
      </c>
      <c r="AQ49" s="4" t="str">
        <f aca="false">IFERROR(INDEX(Playbook!$E$4:$E$17,MATCH($AF49,Playbook!$A$4:$A$17,0)),"")</f>
        <v>Row read and a contact channel exists</v>
      </c>
      <c r="AR49" s="30" t="n">
        <f aca="false">IFERROR(INDEX(Playbook!$G$4:$G$17,MATCH($AF49,Playbook!$A$4:$A$17,0)),0)</f>
        <v>0</v>
      </c>
      <c r="AS49" s="31" t="n">
        <f aca="false">IFERROR(INDEX('Pricing &amp; Pilot'!$D$4:$D$6,MATCH($D49,'Pricing &amp; Pilot'!$A$4:$A$6,0)),0)</f>
        <v>0</v>
      </c>
      <c r="AT49" s="31" t="n">
        <f aca="false">AS49*AR49</f>
        <v>0</v>
      </c>
      <c r="AU49" s="23" t="str">
        <f aca="true">IF(AL49="","",TODAY()-AL49)</f>
        <v/>
      </c>
      <c r="AV49" s="23" t="str">
        <f aca="true">IF(AM49="","",IF(AND(AM49&lt;TODAY(),$AF49&lt;&gt;"Customer",$AF49&lt;&gt;"Lost",$AF49&lt;&gt;"Not a fit"),"OVERDUE",""))</f>
        <v/>
      </c>
      <c r="AW49" s="23" t="str">
        <f aca="false">IF(AV49="OVERDUE","RED",IF($AF49="Not started","—",IF($AF49="Customer","GREEN",IF(OR($AF49="Lost",$AF49="Not a fit"),"CLOSED","AMBER"))))</f>
        <v>—</v>
      </c>
    </row>
    <row r="50" customFormat="false" ht="48" hidden="false" customHeight="true" outlineLevel="0" collapsed="false">
      <c r="A50" s="23" t="n">
        <v>49</v>
      </c>
      <c r="B50" s="33" t="s">
        <v>380</v>
      </c>
      <c r="C50" s="23" t="str">
        <f aca="false">IF(OR(B50="A",B50="B"),"Yes","No")</f>
        <v>No</v>
      </c>
      <c r="D50" s="23"/>
      <c r="E50" s="23" t="s">
        <v>443</v>
      </c>
      <c r="F50" s="23" t="s">
        <v>444</v>
      </c>
      <c r="G50" s="23"/>
      <c r="H50" s="23" t="s">
        <v>445</v>
      </c>
      <c r="I50" s="4"/>
      <c r="J50" s="23" t="s">
        <v>133</v>
      </c>
      <c r="K50" s="23" t="s">
        <v>265</v>
      </c>
      <c r="L50" s="23" t="s">
        <v>134</v>
      </c>
      <c r="M50" s="25" t="n">
        <v>47.6</v>
      </c>
      <c r="N50" s="23" t="s">
        <v>135</v>
      </c>
      <c r="O50" s="23" t="s">
        <v>436</v>
      </c>
      <c r="P50" s="4"/>
      <c r="Q50" s="4" t="s">
        <v>155</v>
      </c>
      <c r="R50" s="4" t="s">
        <v>446</v>
      </c>
      <c r="S50" s="4"/>
      <c r="T50" s="4"/>
      <c r="U50" s="4" t="s">
        <v>438</v>
      </c>
      <c r="V50" s="23"/>
      <c r="W50" s="23"/>
      <c r="X50" s="23"/>
      <c r="Y50" s="23"/>
      <c r="Z50" s="23"/>
      <c r="AA50" s="23"/>
      <c r="AB50" s="23"/>
      <c r="AC50" s="4" t="s">
        <v>447</v>
      </c>
      <c r="AD50" s="26" t="n">
        <f aca="false">COUNTA(V50:AA50)</f>
        <v>0</v>
      </c>
      <c r="AE50" s="27"/>
      <c r="AF50" s="27" t="s">
        <v>34</v>
      </c>
      <c r="AG50" s="28"/>
      <c r="AH50" s="27"/>
      <c r="AI50" s="27"/>
      <c r="AJ50" s="27"/>
      <c r="AK50" s="27"/>
      <c r="AL50" s="28"/>
      <c r="AM50" s="28"/>
      <c r="AN50" s="29"/>
      <c r="AO50" s="4" t="str">
        <f aca="false">IFERROR(INDEX(Playbook!$C$4:$C$17,MATCH($AF50,Playbook!$A$4:$A$17,0)),"")</f>
        <v>Read the row: tier, segment, trigger, reason we lose them. Check contact coverage; if 0, enrich before anything else.</v>
      </c>
      <c r="AP50" s="23" t="str">
        <f aca="false">IFERROR(INDEX(Playbook!$D$4:$D$17,MATCH($AF50,Playbook!$A$4:$A$17,0)),"")</f>
        <v>—</v>
      </c>
      <c r="AQ50" s="4" t="str">
        <f aca="false">IFERROR(INDEX(Playbook!$E$4:$E$17,MATCH($AF50,Playbook!$A$4:$A$17,0)),"")</f>
        <v>Row read and a contact channel exists</v>
      </c>
      <c r="AR50" s="30" t="n">
        <f aca="false">IFERROR(INDEX(Playbook!$G$4:$G$17,MATCH($AF50,Playbook!$A$4:$A$17,0)),0)</f>
        <v>0</v>
      </c>
      <c r="AS50" s="31" t="n">
        <f aca="false">IFERROR(INDEX('Pricing &amp; Pilot'!$D$4:$D$6,MATCH($D50,'Pricing &amp; Pilot'!$A$4:$A$6,0)),0)</f>
        <v>0</v>
      </c>
      <c r="AT50" s="31" t="n">
        <f aca="false">AS50*AR50</f>
        <v>0</v>
      </c>
      <c r="AU50" s="23" t="str">
        <f aca="true">IF(AL50="","",TODAY()-AL50)</f>
        <v/>
      </c>
      <c r="AV50" s="23" t="str">
        <f aca="true">IF(AM50="","",IF(AND(AM50&lt;TODAY(),$AF50&lt;&gt;"Customer",$AF50&lt;&gt;"Lost",$AF50&lt;&gt;"Not a fit"),"OVERDUE",""))</f>
        <v/>
      </c>
      <c r="AW50" s="23" t="str">
        <f aca="false">IF(AV50="OVERDUE","RED",IF($AF50="Not started","—",IF($AF50="Customer","GREEN",IF(OR($AF50="Lost",$AF50="Not a fit"),"CLOSED","AMBER"))))</f>
        <v>—</v>
      </c>
    </row>
    <row r="51" customFormat="false" ht="48" hidden="false" customHeight="true" outlineLevel="0" collapsed="false">
      <c r="A51" s="23" t="n">
        <v>50</v>
      </c>
      <c r="B51" s="33" t="s">
        <v>380</v>
      </c>
      <c r="C51" s="23" t="str">
        <f aca="false">IF(OR(B51="A",B51="B"),"Yes","No")</f>
        <v>No</v>
      </c>
      <c r="D51" s="23"/>
      <c r="E51" s="23" t="s">
        <v>448</v>
      </c>
      <c r="F51" s="23" t="s">
        <v>449</v>
      </c>
      <c r="G51" s="23"/>
      <c r="H51" s="23" t="s">
        <v>450</v>
      </c>
      <c r="I51" s="4"/>
      <c r="J51" s="23" t="s">
        <v>133</v>
      </c>
      <c r="K51" s="23" t="s">
        <v>364</v>
      </c>
      <c r="L51" s="23" t="s">
        <v>134</v>
      </c>
      <c r="M51" s="25" t="n">
        <v>47.6</v>
      </c>
      <c r="N51" s="23" t="s">
        <v>135</v>
      </c>
      <c r="O51" s="23" t="s">
        <v>436</v>
      </c>
      <c r="P51" s="4" t="s">
        <v>451</v>
      </c>
      <c r="Q51" s="4" t="s">
        <v>155</v>
      </c>
      <c r="R51" s="4" t="s">
        <v>452</v>
      </c>
      <c r="S51" s="4"/>
      <c r="T51" s="4"/>
      <c r="U51" s="4" t="s">
        <v>401</v>
      </c>
      <c r="V51" s="23"/>
      <c r="W51" s="23"/>
      <c r="X51" s="23"/>
      <c r="Y51" s="23"/>
      <c r="Z51" s="23"/>
      <c r="AA51" s="23"/>
      <c r="AB51" s="23"/>
      <c r="AC51" s="4" t="s">
        <v>453</v>
      </c>
      <c r="AD51" s="26" t="n">
        <f aca="false">COUNTA(V51:AA51)</f>
        <v>0</v>
      </c>
      <c r="AE51" s="27"/>
      <c r="AF51" s="27" t="s">
        <v>34</v>
      </c>
      <c r="AG51" s="28"/>
      <c r="AH51" s="27"/>
      <c r="AI51" s="27"/>
      <c r="AJ51" s="27"/>
      <c r="AK51" s="27"/>
      <c r="AL51" s="28"/>
      <c r="AM51" s="28"/>
      <c r="AN51" s="29"/>
      <c r="AO51" s="4" t="str">
        <f aca="false">IFERROR(INDEX(Playbook!$C$4:$C$17,MATCH($AF51,Playbook!$A$4:$A$17,0)),"")</f>
        <v>Read the row: tier, segment, trigger, reason we lose them. Check contact coverage; if 0, enrich before anything else.</v>
      </c>
      <c r="AP51" s="23" t="str">
        <f aca="false">IFERROR(INDEX(Playbook!$D$4:$D$17,MATCH($AF51,Playbook!$A$4:$A$17,0)),"")</f>
        <v>—</v>
      </c>
      <c r="AQ51" s="4" t="str">
        <f aca="false">IFERROR(INDEX(Playbook!$E$4:$E$17,MATCH($AF51,Playbook!$A$4:$A$17,0)),"")</f>
        <v>Row read and a contact channel exists</v>
      </c>
      <c r="AR51" s="30" t="n">
        <f aca="false">IFERROR(INDEX(Playbook!$G$4:$G$17,MATCH($AF51,Playbook!$A$4:$A$17,0)),0)</f>
        <v>0</v>
      </c>
      <c r="AS51" s="31" t="n">
        <f aca="false">IFERROR(INDEX('Pricing &amp; Pilot'!$D$4:$D$6,MATCH($D51,'Pricing &amp; Pilot'!$A$4:$A$6,0)),0)</f>
        <v>0</v>
      </c>
      <c r="AT51" s="31" t="n">
        <f aca="false">AS51*AR51</f>
        <v>0</v>
      </c>
      <c r="AU51" s="23" t="str">
        <f aca="true">IF(AL51="","",TODAY()-AL51)</f>
        <v/>
      </c>
      <c r="AV51" s="23" t="str">
        <f aca="true">IF(AM51="","",IF(AND(AM51&lt;TODAY(),$AF51&lt;&gt;"Customer",$AF51&lt;&gt;"Lost",$AF51&lt;&gt;"Not a fit"),"OVERDUE",""))</f>
        <v/>
      </c>
      <c r="AW51" s="23" t="str">
        <f aca="false">IF(AV51="OVERDUE","RED",IF($AF51="Not started","—",IF($AF51="Customer","GREEN",IF(OR($AF51="Lost",$AF51="Not a fit"),"CLOSED","AMBER"))))</f>
        <v>—</v>
      </c>
    </row>
    <row r="52" customFormat="false" ht="48" hidden="false" customHeight="true" outlineLevel="0" collapsed="false">
      <c r="A52" s="23" t="n">
        <v>51</v>
      </c>
      <c r="B52" s="34" t="s">
        <v>454</v>
      </c>
      <c r="C52" s="23" t="str">
        <f aca="false">IF(OR(B52="A",B52="B"),"Yes","No")</f>
        <v>No</v>
      </c>
      <c r="D52" s="23"/>
      <c r="E52" s="23" t="s">
        <v>455</v>
      </c>
      <c r="F52" s="23" t="s">
        <v>456</v>
      </c>
      <c r="G52" s="23"/>
      <c r="H52" s="23" t="s">
        <v>131</v>
      </c>
      <c r="I52" s="4" t="s">
        <v>132</v>
      </c>
      <c r="J52" s="23" t="s">
        <v>345</v>
      </c>
      <c r="K52" s="23" t="s">
        <v>357</v>
      </c>
      <c r="L52" s="23" t="s">
        <v>134</v>
      </c>
      <c r="M52" s="25" t="n">
        <v>62</v>
      </c>
      <c r="N52" s="23" t="s">
        <v>135</v>
      </c>
      <c r="O52" s="23" t="s">
        <v>136</v>
      </c>
      <c r="P52" s="4" t="s">
        <v>137</v>
      </c>
      <c r="Q52" s="4" t="s">
        <v>155</v>
      </c>
      <c r="R52" s="4" t="s">
        <v>457</v>
      </c>
      <c r="S52" s="4"/>
      <c r="T52" s="4"/>
      <c r="U52" s="4" t="s">
        <v>458</v>
      </c>
      <c r="V52" s="23"/>
      <c r="W52" s="23"/>
      <c r="X52" s="23"/>
      <c r="Y52" s="23"/>
      <c r="Z52" s="23"/>
      <c r="AA52" s="23"/>
      <c r="AB52" s="23"/>
      <c r="AC52" s="4" t="s">
        <v>459</v>
      </c>
      <c r="AD52" s="26" t="n">
        <f aca="false">COUNTA(V52:AA52)</f>
        <v>0</v>
      </c>
      <c r="AE52" s="27"/>
      <c r="AF52" s="27" t="s">
        <v>34</v>
      </c>
      <c r="AG52" s="28"/>
      <c r="AH52" s="27"/>
      <c r="AI52" s="27"/>
      <c r="AJ52" s="27"/>
      <c r="AK52" s="27"/>
      <c r="AL52" s="28"/>
      <c r="AM52" s="28"/>
      <c r="AN52" s="29"/>
      <c r="AO52" s="4" t="str">
        <f aca="false">IFERROR(INDEX(Playbook!$C$4:$C$17,MATCH($AF52,Playbook!$A$4:$A$17,0)),"")</f>
        <v>Read the row: tier, segment, trigger, reason we lose them. Check contact coverage; if 0, enrich before anything else.</v>
      </c>
      <c r="AP52" s="23" t="str">
        <f aca="false">IFERROR(INDEX(Playbook!$D$4:$D$17,MATCH($AF52,Playbook!$A$4:$A$17,0)),"")</f>
        <v>—</v>
      </c>
      <c r="AQ52" s="4" t="str">
        <f aca="false">IFERROR(INDEX(Playbook!$E$4:$E$17,MATCH($AF52,Playbook!$A$4:$A$17,0)),"")</f>
        <v>Row read and a contact channel exists</v>
      </c>
      <c r="AR52" s="30" t="n">
        <f aca="false">IFERROR(INDEX(Playbook!$G$4:$G$17,MATCH($AF52,Playbook!$A$4:$A$17,0)),0)</f>
        <v>0</v>
      </c>
      <c r="AS52" s="31" t="n">
        <f aca="false">IFERROR(INDEX('Pricing &amp; Pilot'!$D$4:$D$6,MATCH($D52,'Pricing &amp; Pilot'!$A$4:$A$6,0)),0)</f>
        <v>0</v>
      </c>
      <c r="AT52" s="31" t="n">
        <f aca="false">AS52*AR52</f>
        <v>0</v>
      </c>
      <c r="AU52" s="23" t="str">
        <f aca="true">IF(AL52="","",TODAY()-AL52)</f>
        <v/>
      </c>
      <c r="AV52" s="23" t="str">
        <f aca="true">IF(AM52="","",IF(AND(AM52&lt;TODAY(),$AF52&lt;&gt;"Customer",$AF52&lt;&gt;"Lost",$AF52&lt;&gt;"Not a fit"),"OVERDUE",""))</f>
        <v/>
      </c>
      <c r="AW52" s="23" t="str">
        <f aca="false">IF(AV52="OVERDUE","RED",IF($AF52="Not started","—",IF($AF52="Customer","GREEN",IF(OR($AF52="Lost",$AF52="Not a fit"),"CLOSED","AMBER"))))</f>
        <v>—</v>
      </c>
    </row>
    <row r="53" customFormat="false" ht="48" hidden="false" customHeight="true" outlineLevel="0" collapsed="false">
      <c r="A53" s="23" t="n">
        <v>52</v>
      </c>
      <c r="B53" s="34" t="s">
        <v>454</v>
      </c>
      <c r="C53" s="23" t="str">
        <f aca="false">IF(OR(B53="A",B53="B"),"Yes","No")</f>
        <v>No</v>
      </c>
      <c r="D53" s="23"/>
      <c r="E53" s="23" t="s">
        <v>460</v>
      </c>
      <c r="F53" s="23" t="s">
        <v>461</v>
      </c>
      <c r="G53" s="23"/>
      <c r="H53" s="23"/>
      <c r="I53" s="4"/>
      <c r="J53" s="23" t="s">
        <v>133</v>
      </c>
      <c r="K53" s="23" t="s">
        <v>200</v>
      </c>
      <c r="L53" s="23" t="s">
        <v>134</v>
      </c>
      <c r="M53" s="25" t="n">
        <v>55.6</v>
      </c>
      <c r="N53" s="23" t="s">
        <v>422</v>
      </c>
      <c r="O53" s="23" t="s">
        <v>136</v>
      </c>
      <c r="P53" s="4" t="s">
        <v>462</v>
      </c>
      <c r="Q53" s="4" t="s">
        <v>155</v>
      </c>
      <c r="R53" s="4" t="s">
        <v>463</v>
      </c>
      <c r="S53" s="4"/>
      <c r="T53" s="4"/>
      <c r="U53" s="4"/>
      <c r="V53" s="23"/>
      <c r="W53" s="23"/>
      <c r="X53" s="23"/>
      <c r="Y53" s="23"/>
      <c r="Z53" s="23"/>
      <c r="AA53" s="23"/>
      <c r="AB53" s="23"/>
      <c r="AC53" s="4" t="s">
        <v>464</v>
      </c>
      <c r="AD53" s="26" t="n">
        <f aca="false">COUNTA(V53:AA53)</f>
        <v>0</v>
      </c>
      <c r="AE53" s="27"/>
      <c r="AF53" s="27" t="s">
        <v>34</v>
      </c>
      <c r="AG53" s="28"/>
      <c r="AH53" s="27"/>
      <c r="AI53" s="27"/>
      <c r="AJ53" s="27"/>
      <c r="AK53" s="27"/>
      <c r="AL53" s="28"/>
      <c r="AM53" s="28"/>
      <c r="AN53" s="29"/>
      <c r="AO53" s="4" t="str">
        <f aca="false">IFERROR(INDEX(Playbook!$C$4:$C$17,MATCH($AF53,Playbook!$A$4:$A$17,0)),"")</f>
        <v>Read the row: tier, segment, trigger, reason we lose them. Check contact coverage; if 0, enrich before anything else.</v>
      </c>
      <c r="AP53" s="23" t="str">
        <f aca="false">IFERROR(INDEX(Playbook!$D$4:$D$17,MATCH($AF53,Playbook!$A$4:$A$17,0)),"")</f>
        <v>—</v>
      </c>
      <c r="AQ53" s="4" t="str">
        <f aca="false">IFERROR(INDEX(Playbook!$E$4:$E$17,MATCH($AF53,Playbook!$A$4:$A$17,0)),"")</f>
        <v>Row read and a contact channel exists</v>
      </c>
      <c r="AR53" s="30" t="n">
        <f aca="false">IFERROR(INDEX(Playbook!$G$4:$G$17,MATCH($AF53,Playbook!$A$4:$A$17,0)),0)</f>
        <v>0</v>
      </c>
      <c r="AS53" s="31" t="n">
        <f aca="false">IFERROR(INDEX('Pricing &amp; Pilot'!$D$4:$D$6,MATCH($D53,'Pricing &amp; Pilot'!$A$4:$A$6,0)),0)</f>
        <v>0</v>
      </c>
      <c r="AT53" s="31" t="n">
        <f aca="false">AS53*AR53</f>
        <v>0</v>
      </c>
      <c r="AU53" s="23" t="str">
        <f aca="true">IF(AL53="","",TODAY()-AL53)</f>
        <v/>
      </c>
      <c r="AV53" s="23" t="str">
        <f aca="true">IF(AM53="","",IF(AND(AM53&lt;TODAY(),$AF53&lt;&gt;"Customer",$AF53&lt;&gt;"Lost",$AF53&lt;&gt;"Not a fit"),"OVERDUE",""))</f>
        <v/>
      </c>
      <c r="AW53" s="23" t="str">
        <f aca="false">IF(AV53="OVERDUE","RED",IF($AF53="Not started","—",IF($AF53="Customer","GREEN",IF(OR($AF53="Lost",$AF53="Not a fit"),"CLOSED","AMBER"))))</f>
        <v>—</v>
      </c>
    </row>
    <row r="54" customFormat="false" ht="48" hidden="false" customHeight="true" outlineLevel="0" collapsed="false">
      <c r="A54" s="23" t="n">
        <v>53</v>
      </c>
      <c r="B54" s="34" t="s">
        <v>454</v>
      </c>
      <c r="C54" s="23" t="str">
        <f aca="false">IF(OR(B54="A",B54="B"),"Yes","No")</f>
        <v>No</v>
      </c>
      <c r="D54" s="23"/>
      <c r="E54" s="23" t="s">
        <v>465</v>
      </c>
      <c r="F54" s="23" t="s">
        <v>466</v>
      </c>
      <c r="G54" s="23"/>
      <c r="H54" s="23"/>
      <c r="I54" s="4"/>
      <c r="J54" s="23" t="s">
        <v>133</v>
      </c>
      <c r="K54" s="23" t="s">
        <v>467</v>
      </c>
      <c r="L54" s="23" t="s">
        <v>134</v>
      </c>
      <c r="M54" s="25" t="n">
        <v>55.6</v>
      </c>
      <c r="N54" s="23" t="s">
        <v>422</v>
      </c>
      <c r="O54" s="23" t="s">
        <v>136</v>
      </c>
      <c r="P54" s="4" t="s">
        <v>468</v>
      </c>
      <c r="Q54" s="4" t="s">
        <v>155</v>
      </c>
      <c r="R54" s="4" t="s">
        <v>463</v>
      </c>
      <c r="S54" s="4"/>
      <c r="T54" s="4"/>
      <c r="U54" s="4"/>
      <c r="V54" s="23"/>
      <c r="W54" s="23"/>
      <c r="X54" s="23" t="s">
        <v>469</v>
      </c>
      <c r="Y54" s="23"/>
      <c r="Z54" s="23"/>
      <c r="AA54" s="23"/>
      <c r="AB54" s="23"/>
      <c r="AC54" s="4" t="s">
        <v>470</v>
      </c>
      <c r="AD54" s="26" t="n">
        <f aca="false">COUNTA(V54:AA54)</f>
        <v>1</v>
      </c>
      <c r="AE54" s="27"/>
      <c r="AF54" s="27" t="s">
        <v>34</v>
      </c>
      <c r="AG54" s="28"/>
      <c r="AH54" s="27"/>
      <c r="AI54" s="27"/>
      <c r="AJ54" s="27"/>
      <c r="AK54" s="27"/>
      <c r="AL54" s="28"/>
      <c r="AM54" s="28"/>
      <c r="AN54" s="29"/>
      <c r="AO54" s="4" t="str">
        <f aca="false">IFERROR(INDEX(Playbook!$C$4:$C$17,MATCH($AF54,Playbook!$A$4:$A$17,0)),"")</f>
        <v>Read the row: tier, segment, trigger, reason we lose them. Check contact coverage; if 0, enrich before anything else.</v>
      </c>
      <c r="AP54" s="23" t="str">
        <f aca="false">IFERROR(INDEX(Playbook!$D$4:$D$17,MATCH($AF54,Playbook!$A$4:$A$17,0)),"")</f>
        <v>—</v>
      </c>
      <c r="AQ54" s="4" t="str">
        <f aca="false">IFERROR(INDEX(Playbook!$E$4:$E$17,MATCH($AF54,Playbook!$A$4:$A$17,0)),"")</f>
        <v>Row read and a contact channel exists</v>
      </c>
      <c r="AR54" s="30" t="n">
        <f aca="false">IFERROR(INDEX(Playbook!$G$4:$G$17,MATCH($AF54,Playbook!$A$4:$A$17,0)),0)</f>
        <v>0</v>
      </c>
      <c r="AS54" s="31" t="n">
        <f aca="false">IFERROR(INDEX('Pricing &amp; Pilot'!$D$4:$D$6,MATCH($D54,'Pricing &amp; Pilot'!$A$4:$A$6,0)),0)</f>
        <v>0</v>
      </c>
      <c r="AT54" s="31" t="n">
        <f aca="false">AS54*AR54</f>
        <v>0</v>
      </c>
      <c r="AU54" s="23" t="str">
        <f aca="true">IF(AL54="","",TODAY()-AL54)</f>
        <v/>
      </c>
      <c r="AV54" s="23" t="str">
        <f aca="true">IF(AM54="","",IF(AND(AM54&lt;TODAY(),$AF54&lt;&gt;"Customer",$AF54&lt;&gt;"Lost",$AF54&lt;&gt;"Not a fit"),"OVERDUE",""))</f>
        <v/>
      </c>
      <c r="AW54" s="23" t="str">
        <f aca="false">IF(AV54="OVERDUE","RED",IF($AF54="Not started","—",IF($AF54="Customer","GREEN",IF(OR($AF54="Lost",$AF54="Not a fit"),"CLOSED","AMBER"))))</f>
        <v>—</v>
      </c>
    </row>
    <row r="55" customFormat="false" ht="48" hidden="false" customHeight="true" outlineLevel="0" collapsed="false">
      <c r="A55" s="23" t="n">
        <v>54</v>
      </c>
      <c r="B55" s="34" t="s">
        <v>454</v>
      </c>
      <c r="C55" s="23" t="str">
        <f aca="false">IF(OR(B55="A",B55="B"),"Yes","No")</f>
        <v>No</v>
      </c>
      <c r="D55" s="23"/>
      <c r="E55" s="23" t="s">
        <v>471</v>
      </c>
      <c r="F55" s="23" t="s">
        <v>472</v>
      </c>
      <c r="G55" s="23"/>
      <c r="H55" s="23"/>
      <c r="I55" s="4"/>
      <c r="J55" s="23" t="s">
        <v>133</v>
      </c>
      <c r="K55" s="23" t="s">
        <v>134</v>
      </c>
      <c r="L55" s="23" t="s">
        <v>134</v>
      </c>
      <c r="M55" s="25" t="n">
        <v>55.6</v>
      </c>
      <c r="N55" s="23" t="s">
        <v>422</v>
      </c>
      <c r="O55" s="23" t="s">
        <v>136</v>
      </c>
      <c r="P55" s="4" t="s">
        <v>468</v>
      </c>
      <c r="Q55" s="4" t="s">
        <v>155</v>
      </c>
      <c r="R55" s="4" t="s">
        <v>463</v>
      </c>
      <c r="S55" s="4"/>
      <c r="T55" s="4"/>
      <c r="U55" s="4"/>
      <c r="V55" s="23"/>
      <c r="W55" s="23"/>
      <c r="X55" s="23"/>
      <c r="Y55" s="23"/>
      <c r="Z55" s="23"/>
      <c r="AA55" s="23"/>
      <c r="AB55" s="23"/>
      <c r="AC55" s="4" t="s">
        <v>473</v>
      </c>
      <c r="AD55" s="26" t="n">
        <f aca="false">COUNTA(V55:AA55)</f>
        <v>0</v>
      </c>
      <c r="AE55" s="27"/>
      <c r="AF55" s="27" t="s">
        <v>34</v>
      </c>
      <c r="AG55" s="28"/>
      <c r="AH55" s="27"/>
      <c r="AI55" s="27"/>
      <c r="AJ55" s="27"/>
      <c r="AK55" s="27"/>
      <c r="AL55" s="28"/>
      <c r="AM55" s="28"/>
      <c r="AN55" s="29"/>
      <c r="AO55" s="4" t="str">
        <f aca="false">IFERROR(INDEX(Playbook!$C$4:$C$17,MATCH($AF55,Playbook!$A$4:$A$17,0)),"")</f>
        <v>Read the row: tier, segment, trigger, reason we lose them. Check contact coverage; if 0, enrich before anything else.</v>
      </c>
      <c r="AP55" s="23" t="str">
        <f aca="false">IFERROR(INDEX(Playbook!$D$4:$D$17,MATCH($AF55,Playbook!$A$4:$A$17,0)),"")</f>
        <v>—</v>
      </c>
      <c r="AQ55" s="4" t="str">
        <f aca="false">IFERROR(INDEX(Playbook!$E$4:$E$17,MATCH($AF55,Playbook!$A$4:$A$17,0)),"")</f>
        <v>Row read and a contact channel exists</v>
      </c>
      <c r="AR55" s="30" t="n">
        <f aca="false">IFERROR(INDEX(Playbook!$G$4:$G$17,MATCH($AF55,Playbook!$A$4:$A$17,0)),0)</f>
        <v>0</v>
      </c>
      <c r="AS55" s="31" t="n">
        <f aca="false">IFERROR(INDEX('Pricing &amp; Pilot'!$D$4:$D$6,MATCH($D55,'Pricing &amp; Pilot'!$A$4:$A$6,0)),0)</f>
        <v>0</v>
      </c>
      <c r="AT55" s="31" t="n">
        <f aca="false">AS55*AR55</f>
        <v>0</v>
      </c>
      <c r="AU55" s="23" t="str">
        <f aca="true">IF(AL55="","",TODAY()-AL55)</f>
        <v/>
      </c>
      <c r="AV55" s="23" t="str">
        <f aca="true">IF(AM55="","",IF(AND(AM55&lt;TODAY(),$AF55&lt;&gt;"Customer",$AF55&lt;&gt;"Lost",$AF55&lt;&gt;"Not a fit"),"OVERDUE",""))</f>
        <v/>
      </c>
      <c r="AW55" s="23" t="str">
        <f aca="false">IF(AV55="OVERDUE","RED",IF($AF55="Not started","—",IF($AF55="Customer","GREEN",IF(OR($AF55="Lost",$AF55="Not a fit"),"CLOSED","AMBER"))))</f>
        <v>—</v>
      </c>
    </row>
    <row r="56" customFormat="false" ht="48" hidden="false" customHeight="true" outlineLevel="0" collapsed="false">
      <c r="A56" s="23" t="n">
        <v>55</v>
      </c>
      <c r="B56" s="34" t="s">
        <v>454</v>
      </c>
      <c r="C56" s="23" t="str">
        <f aca="false">IF(OR(B56="A",B56="B"),"Yes","No")</f>
        <v>No</v>
      </c>
      <c r="D56" s="23"/>
      <c r="E56" s="23" t="s">
        <v>474</v>
      </c>
      <c r="F56" s="23" t="s">
        <v>475</v>
      </c>
      <c r="G56" s="23" t="s">
        <v>476</v>
      </c>
      <c r="H56" s="23"/>
      <c r="I56" s="4"/>
      <c r="J56" s="23" t="s">
        <v>133</v>
      </c>
      <c r="K56" s="23" t="s">
        <v>134</v>
      </c>
      <c r="L56" s="23" t="s">
        <v>134</v>
      </c>
      <c r="M56" s="25" t="n">
        <v>55.6</v>
      </c>
      <c r="N56" s="23" t="s">
        <v>422</v>
      </c>
      <c r="O56" s="23" t="s">
        <v>136</v>
      </c>
      <c r="P56" s="4" t="s">
        <v>462</v>
      </c>
      <c r="Q56" s="4" t="s">
        <v>155</v>
      </c>
      <c r="R56" s="4" t="s">
        <v>463</v>
      </c>
      <c r="S56" s="4"/>
      <c r="T56" s="4"/>
      <c r="U56" s="4"/>
      <c r="V56" s="23"/>
      <c r="W56" s="23"/>
      <c r="X56" s="23"/>
      <c r="Y56" s="23"/>
      <c r="Z56" s="23"/>
      <c r="AA56" s="23"/>
      <c r="AB56" s="23"/>
      <c r="AC56" s="4" t="s">
        <v>477</v>
      </c>
      <c r="AD56" s="26" t="n">
        <f aca="false">COUNTA(V56:AA56)</f>
        <v>0</v>
      </c>
      <c r="AE56" s="27"/>
      <c r="AF56" s="27" t="s">
        <v>34</v>
      </c>
      <c r="AG56" s="28"/>
      <c r="AH56" s="27"/>
      <c r="AI56" s="27"/>
      <c r="AJ56" s="27"/>
      <c r="AK56" s="27"/>
      <c r="AL56" s="28"/>
      <c r="AM56" s="28"/>
      <c r="AN56" s="29"/>
      <c r="AO56" s="4" t="str">
        <f aca="false">IFERROR(INDEX(Playbook!$C$4:$C$17,MATCH($AF56,Playbook!$A$4:$A$17,0)),"")</f>
        <v>Read the row: tier, segment, trigger, reason we lose them. Check contact coverage; if 0, enrich before anything else.</v>
      </c>
      <c r="AP56" s="23" t="str">
        <f aca="false">IFERROR(INDEX(Playbook!$D$4:$D$17,MATCH($AF56,Playbook!$A$4:$A$17,0)),"")</f>
        <v>—</v>
      </c>
      <c r="AQ56" s="4" t="str">
        <f aca="false">IFERROR(INDEX(Playbook!$E$4:$E$17,MATCH($AF56,Playbook!$A$4:$A$17,0)),"")</f>
        <v>Row read and a contact channel exists</v>
      </c>
      <c r="AR56" s="30" t="n">
        <f aca="false">IFERROR(INDEX(Playbook!$G$4:$G$17,MATCH($AF56,Playbook!$A$4:$A$17,0)),0)</f>
        <v>0</v>
      </c>
      <c r="AS56" s="31" t="n">
        <f aca="false">IFERROR(INDEX('Pricing &amp; Pilot'!$D$4:$D$6,MATCH($D56,'Pricing &amp; Pilot'!$A$4:$A$6,0)),0)</f>
        <v>0</v>
      </c>
      <c r="AT56" s="31" t="n">
        <f aca="false">AS56*AR56</f>
        <v>0</v>
      </c>
      <c r="AU56" s="23" t="str">
        <f aca="true">IF(AL56="","",TODAY()-AL56)</f>
        <v/>
      </c>
      <c r="AV56" s="23" t="str">
        <f aca="true">IF(AM56="","",IF(AND(AM56&lt;TODAY(),$AF56&lt;&gt;"Customer",$AF56&lt;&gt;"Lost",$AF56&lt;&gt;"Not a fit"),"OVERDUE",""))</f>
        <v/>
      </c>
      <c r="AW56" s="23" t="str">
        <f aca="false">IF(AV56="OVERDUE","RED",IF($AF56="Not started","—",IF($AF56="Customer","GREEN",IF(OR($AF56="Lost",$AF56="Not a fit"),"CLOSED","AMBER"))))</f>
        <v>—</v>
      </c>
    </row>
    <row r="57" customFormat="false" ht="48" hidden="false" customHeight="true" outlineLevel="0" collapsed="false">
      <c r="A57" s="23" t="n">
        <v>56</v>
      </c>
      <c r="B57" s="34" t="s">
        <v>454</v>
      </c>
      <c r="C57" s="23" t="str">
        <f aca="false">IF(OR(B57="A",B57="B"),"Yes","No")</f>
        <v>No</v>
      </c>
      <c r="D57" s="23"/>
      <c r="E57" s="23" t="s">
        <v>478</v>
      </c>
      <c r="F57" s="23" t="s">
        <v>479</v>
      </c>
      <c r="G57" s="23"/>
      <c r="H57" s="23"/>
      <c r="I57" s="4"/>
      <c r="J57" s="23" t="s">
        <v>133</v>
      </c>
      <c r="K57" s="23" t="s">
        <v>134</v>
      </c>
      <c r="L57" s="23" t="s">
        <v>134</v>
      </c>
      <c r="M57" s="25" t="n">
        <v>55.6</v>
      </c>
      <c r="N57" s="23" t="s">
        <v>422</v>
      </c>
      <c r="O57" s="23" t="s">
        <v>136</v>
      </c>
      <c r="P57" s="4" t="s">
        <v>462</v>
      </c>
      <c r="Q57" s="4" t="s">
        <v>155</v>
      </c>
      <c r="R57" s="4" t="s">
        <v>463</v>
      </c>
      <c r="S57" s="4"/>
      <c r="T57" s="4"/>
      <c r="U57" s="4"/>
      <c r="V57" s="23"/>
      <c r="W57" s="23"/>
      <c r="X57" s="23"/>
      <c r="Y57" s="23"/>
      <c r="Z57" s="23"/>
      <c r="AA57" s="23"/>
      <c r="AB57" s="23"/>
      <c r="AC57" s="4" t="s">
        <v>480</v>
      </c>
      <c r="AD57" s="26" t="n">
        <f aca="false">COUNTA(V57:AA57)</f>
        <v>0</v>
      </c>
      <c r="AE57" s="27"/>
      <c r="AF57" s="27" t="s">
        <v>34</v>
      </c>
      <c r="AG57" s="28"/>
      <c r="AH57" s="27"/>
      <c r="AI57" s="27"/>
      <c r="AJ57" s="27"/>
      <c r="AK57" s="27"/>
      <c r="AL57" s="28"/>
      <c r="AM57" s="28"/>
      <c r="AN57" s="29"/>
      <c r="AO57" s="4" t="str">
        <f aca="false">IFERROR(INDEX(Playbook!$C$4:$C$17,MATCH($AF57,Playbook!$A$4:$A$17,0)),"")</f>
        <v>Read the row: tier, segment, trigger, reason we lose them. Check contact coverage; if 0, enrich before anything else.</v>
      </c>
      <c r="AP57" s="23" t="str">
        <f aca="false">IFERROR(INDEX(Playbook!$D$4:$D$17,MATCH($AF57,Playbook!$A$4:$A$17,0)),"")</f>
        <v>—</v>
      </c>
      <c r="AQ57" s="4" t="str">
        <f aca="false">IFERROR(INDEX(Playbook!$E$4:$E$17,MATCH($AF57,Playbook!$A$4:$A$17,0)),"")</f>
        <v>Row read and a contact channel exists</v>
      </c>
      <c r="AR57" s="30" t="n">
        <f aca="false">IFERROR(INDEX(Playbook!$G$4:$G$17,MATCH($AF57,Playbook!$A$4:$A$17,0)),0)</f>
        <v>0</v>
      </c>
      <c r="AS57" s="31" t="n">
        <f aca="false">IFERROR(INDEX('Pricing &amp; Pilot'!$D$4:$D$6,MATCH($D57,'Pricing &amp; Pilot'!$A$4:$A$6,0)),0)</f>
        <v>0</v>
      </c>
      <c r="AT57" s="31" t="n">
        <f aca="false">AS57*AR57</f>
        <v>0</v>
      </c>
      <c r="AU57" s="23" t="str">
        <f aca="true">IF(AL57="","",TODAY()-AL57)</f>
        <v/>
      </c>
      <c r="AV57" s="23" t="str">
        <f aca="true">IF(AM57="","",IF(AND(AM57&lt;TODAY(),$AF57&lt;&gt;"Customer",$AF57&lt;&gt;"Lost",$AF57&lt;&gt;"Not a fit"),"OVERDUE",""))</f>
        <v/>
      </c>
      <c r="AW57" s="23" t="str">
        <f aca="false">IF(AV57="OVERDUE","RED",IF($AF57="Not started","—",IF($AF57="Customer","GREEN",IF(OR($AF57="Lost",$AF57="Not a fit"),"CLOSED","AMBER"))))</f>
        <v>—</v>
      </c>
    </row>
    <row r="58" customFormat="false" ht="48" hidden="false" customHeight="true" outlineLevel="0" collapsed="false">
      <c r="A58" s="23" t="n">
        <v>57</v>
      </c>
      <c r="B58" s="34" t="s">
        <v>454</v>
      </c>
      <c r="C58" s="23" t="str">
        <f aca="false">IF(OR(B58="A",B58="B"),"Yes","No")</f>
        <v>No</v>
      </c>
      <c r="D58" s="23"/>
      <c r="E58" s="23" t="s">
        <v>481</v>
      </c>
      <c r="F58" s="23" t="s">
        <v>482</v>
      </c>
      <c r="G58" s="23"/>
      <c r="H58" s="23"/>
      <c r="I58" s="4"/>
      <c r="J58" s="23" t="s">
        <v>133</v>
      </c>
      <c r="K58" s="23" t="s">
        <v>346</v>
      </c>
      <c r="L58" s="23" t="s">
        <v>134</v>
      </c>
      <c r="M58" s="25" t="n">
        <v>55.6</v>
      </c>
      <c r="N58" s="23" t="s">
        <v>422</v>
      </c>
      <c r="O58" s="23" t="s">
        <v>136</v>
      </c>
      <c r="P58" s="4" t="s">
        <v>483</v>
      </c>
      <c r="Q58" s="4" t="s">
        <v>155</v>
      </c>
      <c r="R58" s="4" t="s">
        <v>463</v>
      </c>
      <c r="S58" s="4"/>
      <c r="T58" s="4"/>
      <c r="U58" s="4"/>
      <c r="V58" s="23"/>
      <c r="W58" s="23"/>
      <c r="X58" s="23"/>
      <c r="Y58" s="23"/>
      <c r="Z58" s="23"/>
      <c r="AA58" s="23"/>
      <c r="AB58" s="23"/>
      <c r="AC58" s="4" t="s">
        <v>484</v>
      </c>
      <c r="AD58" s="26" t="n">
        <f aca="false">COUNTA(V58:AA58)</f>
        <v>0</v>
      </c>
      <c r="AE58" s="27"/>
      <c r="AF58" s="27" t="s">
        <v>34</v>
      </c>
      <c r="AG58" s="28"/>
      <c r="AH58" s="27"/>
      <c r="AI58" s="27"/>
      <c r="AJ58" s="27"/>
      <c r="AK58" s="27"/>
      <c r="AL58" s="28"/>
      <c r="AM58" s="28"/>
      <c r="AN58" s="29"/>
      <c r="AO58" s="4" t="str">
        <f aca="false">IFERROR(INDEX(Playbook!$C$4:$C$17,MATCH($AF58,Playbook!$A$4:$A$17,0)),"")</f>
        <v>Read the row: tier, segment, trigger, reason we lose them. Check contact coverage; if 0, enrich before anything else.</v>
      </c>
      <c r="AP58" s="23" t="str">
        <f aca="false">IFERROR(INDEX(Playbook!$D$4:$D$17,MATCH($AF58,Playbook!$A$4:$A$17,0)),"")</f>
        <v>—</v>
      </c>
      <c r="AQ58" s="4" t="str">
        <f aca="false">IFERROR(INDEX(Playbook!$E$4:$E$17,MATCH($AF58,Playbook!$A$4:$A$17,0)),"")</f>
        <v>Row read and a contact channel exists</v>
      </c>
      <c r="AR58" s="30" t="n">
        <f aca="false">IFERROR(INDEX(Playbook!$G$4:$G$17,MATCH($AF58,Playbook!$A$4:$A$17,0)),0)</f>
        <v>0</v>
      </c>
      <c r="AS58" s="31" t="n">
        <f aca="false">IFERROR(INDEX('Pricing &amp; Pilot'!$D$4:$D$6,MATCH($D58,'Pricing &amp; Pilot'!$A$4:$A$6,0)),0)</f>
        <v>0</v>
      </c>
      <c r="AT58" s="31" t="n">
        <f aca="false">AS58*AR58</f>
        <v>0</v>
      </c>
      <c r="AU58" s="23" t="str">
        <f aca="true">IF(AL58="","",TODAY()-AL58)</f>
        <v/>
      </c>
      <c r="AV58" s="23" t="str">
        <f aca="true">IF(AM58="","",IF(AND(AM58&lt;TODAY(),$AF58&lt;&gt;"Customer",$AF58&lt;&gt;"Lost",$AF58&lt;&gt;"Not a fit"),"OVERDUE",""))</f>
        <v/>
      </c>
      <c r="AW58" s="23" t="str">
        <f aca="false">IF(AV58="OVERDUE","RED",IF($AF58="Not started","—",IF($AF58="Customer","GREEN",IF(OR($AF58="Lost",$AF58="Not a fit"),"CLOSED","AMBER"))))</f>
        <v>—</v>
      </c>
    </row>
    <row r="59" customFormat="false" ht="48" hidden="false" customHeight="true" outlineLevel="0" collapsed="false">
      <c r="A59" s="23" t="n">
        <v>58</v>
      </c>
      <c r="B59" s="34" t="s">
        <v>454</v>
      </c>
      <c r="C59" s="23" t="str">
        <f aca="false">IF(OR(B59="A",B59="B"),"Yes","No")</f>
        <v>No</v>
      </c>
      <c r="D59" s="23"/>
      <c r="E59" s="23" t="s">
        <v>485</v>
      </c>
      <c r="F59" s="23" t="s">
        <v>486</v>
      </c>
      <c r="G59" s="23"/>
      <c r="H59" s="23"/>
      <c r="I59" s="4"/>
      <c r="J59" s="23" t="s">
        <v>133</v>
      </c>
      <c r="K59" s="23" t="s">
        <v>134</v>
      </c>
      <c r="L59" s="23" t="s">
        <v>134</v>
      </c>
      <c r="M59" s="25" t="n">
        <v>55.6</v>
      </c>
      <c r="N59" s="23" t="s">
        <v>422</v>
      </c>
      <c r="O59" s="23" t="s">
        <v>136</v>
      </c>
      <c r="P59" s="4" t="s">
        <v>462</v>
      </c>
      <c r="Q59" s="4" t="s">
        <v>155</v>
      </c>
      <c r="R59" s="4" t="s">
        <v>463</v>
      </c>
      <c r="S59" s="4"/>
      <c r="T59" s="4"/>
      <c r="U59" s="4"/>
      <c r="V59" s="23"/>
      <c r="W59" s="23"/>
      <c r="X59" s="23"/>
      <c r="Y59" s="23"/>
      <c r="Z59" s="23"/>
      <c r="AA59" s="23"/>
      <c r="AB59" s="23"/>
      <c r="AC59" s="4" t="s">
        <v>487</v>
      </c>
      <c r="AD59" s="26" t="n">
        <f aca="false">COUNTA(V59:AA59)</f>
        <v>0</v>
      </c>
      <c r="AE59" s="27"/>
      <c r="AF59" s="27" t="s">
        <v>34</v>
      </c>
      <c r="AG59" s="28"/>
      <c r="AH59" s="27"/>
      <c r="AI59" s="27"/>
      <c r="AJ59" s="27"/>
      <c r="AK59" s="27"/>
      <c r="AL59" s="28"/>
      <c r="AM59" s="28"/>
      <c r="AN59" s="29"/>
      <c r="AO59" s="4" t="str">
        <f aca="false">IFERROR(INDEX(Playbook!$C$4:$C$17,MATCH($AF59,Playbook!$A$4:$A$17,0)),"")</f>
        <v>Read the row: tier, segment, trigger, reason we lose them. Check contact coverage; if 0, enrich before anything else.</v>
      </c>
      <c r="AP59" s="23" t="str">
        <f aca="false">IFERROR(INDEX(Playbook!$D$4:$D$17,MATCH($AF59,Playbook!$A$4:$A$17,0)),"")</f>
        <v>—</v>
      </c>
      <c r="AQ59" s="4" t="str">
        <f aca="false">IFERROR(INDEX(Playbook!$E$4:$E$17,MATCH($AF59,Playbook!$A$4:$A$17,0)),"")</f>
        <v>Row read and a contact channel exists</v>
      </c>
      <c r="AR59" s="30" t="n">
        <f aca="false">IFERROR(INDEX(Playbook!$G$4:$G$17,MATCH($AF59,Playbook!$A$4:$A$17,0)),0)</f>
        <v>0</v>
      </c>
      <c r="AS59" s="31" t="n">
        <f aca="false">IFERROR(INDEX('Pricing &amp; Pilot'!$D$4:$D$6,MATCH($D59,'Pricing &amp; Pilot'!$A$4:$A$6,0)),0)</f>
        <v>0</v>
      </c>
      <c r="AT59" s="31" t="n">
        <f aca="false">AS59*AR59</f>
        <v>0</v>
      </c>
      <c r="AU59" s="23" t="str">
        <f aca="true">IF(AL59="","",TODAY()-AL59)</f>
        <v/>
      </c>
      <c r="AV59" s="23" t="str">
        <f aca="true">IF(AM59="","",IF(AND(AM59&lt;TODAY(),$AF59&lt;&gt;"Customer",$AF59&lt;&gt;"Lost",$AF59&lt;&gt;"Not a fit"),"OVERDUE",""))</f>
        <v/>
      </c>
      <c r="AW59" s="23" t="str">
        <f aca="false">IF(AV59="OVERDUE","RED",IF($AF59="Not started","—",IF($AF59="Customer","GREEN",IF(OR($AF59="Lost",$AF59="Not a fit"),"CLOSED","AMBER"))))</f>
        <v>—</v>
      </c>
    </row>
    <row r="60" customFormat="false" ht="48" hidden="false" customHeight="true" outlineLevel="0" collapsed="false">
      <c r="A60" s="23" t="n">
        <v>59</v>
      </c>
      <c r="B60" s="34" t="s">
        <v>454</v>
      </c>
      <c r="C60" s="23" t="str">
        <f aca="false">IF(OR(B60="A",B60="B"),"Yes","No")</f>
        <v>No</v>
      </c>
      <c r="D60" s="23"/>
      <c r="E60" s="23" t="s">
        <v>488</v>
      </c>
      <c r="F60" s="23" t="s">
        <v>489</v>
      </c>
      <c r="G60" s="23"/>
      <c r="H60" s="23"/>
      <c r="I60" s="4"/>
      <c r="J60" s="23" t="s">
        <v>133</v>
      </c>
      <c r="K60" s="23" t="s">
        <v>364</v>
      </c>
      <c r="L60" s="23" t="s">
        <v>134</v>
      </c>
      <c r="M60" s="25" t="n">
        <v>55.6</v>
      </c>
      <c r="N60" s="23" t="s">
        <v>422</v>
      </c>
      <c r="O60" s="23" t="s">
        <v>136</v>
      </c>
      <c r="P60" s="4" t="s">
        <v>483</v>
      </c>
      <c r="Q60" s="4" t="s">
        <v>155</v>
      </c>
      <c r="R60" s="4" t="s">
        <v>463</v>
      </c>
      <c r="S60" s="4"/>
      <c r="T60" s="4"/>
      <c r="U60" s="4"/>
      <c r="V60" s="23"/>
      <c r="W60" s="23"/>
      <c r="X60" s="23"/>
      <c r="Y60" s="23"/>
      <c r="Z60" s="23"/>
      <c r="AA60" s="23"/>
      <c r="AB60" s="23"/>
      <c r="AC60" s="4" t="s">
        <v>490</v>
      </c>
      <c r="AD60" s="26" t="n">
        <f aca="false">COUNTA(V60:AA60)</f>
        <v>0</v>
      </c>
      <c r="AE60" s="27"/>
      <c r="AF60" s="27" t="s">
        <v>34</v>
      </c>
      <c r="AG60" s="28"/>
      <c r="AH60" s="27"/>
      <c r="AI60" s="27"/>
      <c r="AJ60" s="27"/>
      <c r="AK60" s="27"/>
      <c r="AL60" s="28"/>
      <c r="AM60" s="28"/>
      <c r="AN60" s="29"/>
      <c r="AO60" s="4" t="str">
        <f aca="false">IFERROR(INDEX(Playbook!$C$4:$C$17,MATCH($AF60,Playbook!$A$4:$A$17,0)),"")</f>
        <v>Read the row: tier, segment, trigger, reason we lose them. Check contact coverage; if 0, enrich before anything else.</v>
      </c>
      <c r="AP60" s="23" t="str">
        <f aca="false">IFERROR(INDEX(Playbook!$D$4:$D$17,MATCH($AF60,Playbook!$A$4:$A$17,0)),"")</f>
        <v>—</v>
      </c>
      <c r="AQ60" s="4" t="str">
        <f aca="false">IFERROR(INDEX(Playbook!$E$4:$E$17,MATCH($AF60,Playbook!$A$4:$A$17,0)),"")</f>
        <v>Row read and a contact channel exists</v>
      </c>
      <c r="AR60" s="30" t="n">
        <f aca="false">IFERROR(INDEX(Playbook!$G$4:$G$17,MATCH($AF60,Playbook!$A$4:$A$17,0)),0)</f>
        <v>0</v>
      </c>
      <c r="AS60" s="31" t="n">
        <f aca="false">IFERROR(INDEX('Pricing &amp; Pilot'!$D$4:$D$6,MATCH($D60,'Pricing &amp; Pilot'!$A$4:$A$6,0)),0)</f>
        <v>0</v>
      </c>
      <c r="AT60" s="31" t="n">
        <f aca="false">AS60*AR60</f>
        <v>0</v>
      </c>
      <c r="AU60" s="23" t="str">
        <f aca="true">IF(AL60="","",TODAY()-AL60)</f>
        <v/>
      </c>
      <c r="AV60" s="23" t="str">
        <f aca="true">IF(AM60="","",IF(AND(AM60&lt;TODAY(),$AF60&lt;&gt;"Customer",$AF60&lt;&gt;"Lost",$AF60&lt;&gt;"Not a fit"),"OVERDUE",""))</f>
        <v/>
      </c>
      <c r="AW60" s="23" t="str">
        <f aca="false">IF(AV60="OVERDUE","RED",IF($AF60="Not started","—",IF($AF60="Customer","GREEN",IF(OR($AF60="Lost",$AF60="Not a fit"),"CLOSED","AMBER"))))</f>
        <v>—</v>
      </c>
    </row>
    <row r="61" customFormat="false" ht="48" hidden="false" customHeight="true" outlineLevel="0" collapsed="false">
      <c r="A61" s="23" t="n">
        <v>60</v>
      </c>
      <c r="B61" s="34" t="s">
        <v>454</v>
      </c>
      <c r="C61" s="23" t="str">
        <f aca="false">IF(OR(B61="A",B61="B"),"Yes","No")</f>
        <v>No</v>
      </c>
      <c r="D61" s="23"/>
      <c r="E61" s="23" t="s">
        <v>491</v>
      </c>
      <c r="F61" s="23" t="s">
        <v>492</v>
      </c>
      <c r="G61" s="23"/>
      <c r="H61" s="23"/>
      <c r="I61" s="4"/>
      <c r="J61" s="23" t="s">
        <v>133</v>
      </c>
      <c r="K61" s="23" t="s">
        <v>265</v>
      </c>
      <c r="L61" s="23" t="s">
        <v>134</v>
      </c>
      <c r="M61" s="25" t="n">
        <v>55.6</v>
      </c>
      <c r="N61" s="23" t="s">
        <v>422</v>
      </c>
      <c r="O61" s="23" t="s">
        <v>136</v>
      </c>
      <c r="P61" s="4" t="s">
        <v>462</v>
      </c>
      <c r="Q61" s="4" t="s">
        <v>155</v>
      </c>
      <c r="R61" s="4" t="s">
        <v>463</v>
      </c>
      <c r="S61" s="4"/>
      <c r="T61" s="4"/>
      <c r="U61" s="4"/>
      <c r="V61" s="23"/>
      <c r="W61" s="23"/>
      <c r="X61" s="23"/>
      <c r="Y61" s="23"/>
      <c r="Z61" s="23"/>
      <c r="AA61" s="23"/>
      <c r="AB61" s="23"/>
      <c r="AC61" s="4" t="s">
        <v>493</v>
      </c>
      <c r="AD61" s="26" t="n">
        <f aca="false">COUNTA(V61:AA61)</f>
        <v>0</v>
      </c>
      <c r="AE61" s="27"/>
      <c r="AF61" s="27" t="s">
        <v>34</v>
      </c>
      <c r="AG61" s="28"/>
      <c r="AH61" s="27"/>
      <c r="AI61" s="27"/>
      <c r="AJ61" s="27"/>
      <c r="AK61" s="27"/>
      <c r="AL61" s="28"/>
      <c r="AM61" s="28"/>
      <c r="AN61" s="29"/>
      <c r="AO61" s="4" t="str">
        <f aca="false">IFERROR(INDEX(Playbook!$C$4:$C$17,MATCH($AF61,Playbook!$A$4:$A$17,0)),"")</f>
        <v>Read the row: tier, segment, trigger, reason we lose them. Check contact coverage; if 0, enrich before anything else.</v>
      </c>
      <c r="AP61" s="23" t="str">
        <f aca="false">IFERROR(INDEX(Playbook!$D$4:$D$17,MATCH($AF61,Playbook!$A$4:$A$17,0)),"")</f>
        <v>—</v>
      </c>
      <c r="AQ61" s="4" t="str">
        <f aca="false">IFERROR(INDEX(Playbook!$E$4:$E$17,MATCH($AF61,Playbook!$A$4:$A$17,0)),"")</f>
        <v>Row read and a contact channel exists</v>
      </c>
      <c r="AR61" s="30" t="n">
        <f aca="false">IFERROR(INDEX(Playbook!$G$4:$G$17,MATCH($AF61,Playbook!$A$4:$A$17,0)),0)</f>
        <v>0</v>
      </c>
      <c r="AS61" s="31" t="n">
        <f aca="false">IFERROR(INDEX('Pricing &amp; Pilot'!$D$4:$D$6,MATCH($D61,'Pricing &amp; Pilot'!$A$4:$A$6,0)),0)</f>
        <v>0</v>
      </c>
      <c r="AT61" s="31" t="n">
        <f aca="false">AS61*AR61</f>
        <v>0</v>
      </c>
      <c r="AU61" s="23" t="str">
        <f aca="true">IF(AL61="","",TODAY()-AL61)</f>
        <v/>
      </c>
      <c r="AV61" s="23" t="str">
        <f aca="true">IF(AM61="","",IF(AND(AM61&lt;TODAY(),$AF61&lt;&gt;"Customer",$AF61&lt;&gt;"Lost",$AF61&lt;&gt;"Not a fit"),"OVERDUE",""))</f>
        <v/>
      </c>
      <c r="AW61" s="23" t="str">
        <f aca="false">IF(AV61="OVERDUE","RED",IF($AF61="Not started","—",IF($AF61="Customer","GREEN",IF(OR($AF61="Lost",$AF61="Not a fit"),"CLOSED","AMBER"))))</f>
        <v>—</v>
      </c>
    </row>
    <row r="62" customFormat="false" ht="48" hidden="false" customHeight="true" outlineLevel="0" collapsed="false">
      <c r="A62" s="23" t="n">
        <v>61</v>
      </c>
      <c r="B62" s="34" t="s">
        <v>454</v>
      </c>
      <c r="C62" s="23" t="str">
        <f aca="false">IF(OR(B62="A",B62="B"),"Yes","No")</f>
        <v>No</v>
      </c>
      <c r="D62" s="23"/>
      <c r="E62" s="23" t="s">
        <v>494</v>
      </c>
      <c r="F62" s="23" t="s">
        <v>495</v>
      </c>
      <c r="G62" s="23"/>
      <c r="H62" s="23"/>
      <c r="I62" s="4"/>
      <c r="J62" s="23" t="s">
        <v>133</v>
      </c>
      <c r="K62" s="23" t="s">
        <v>134</v>
      </c>
      <c r="L62" s="23" t="s">
        <v>134</v>
      </c>
      <c r="M62" s="25" t="n">
        <v>55.6</v>
      </c>
      <c r="N62" s="23" t="s">
        <v>422</v>
      </c>
      <c r="O62" s="23" t="s">
        <v>136</v>
      </c>
      <c r="P62" s="4" t="s">
        <v>462</v>
      </c>
      <c r="Q62" s="4" t="s">
        <v>155</v>
      </c>
      <c r="R62" s="4" t="s">
        <v>463</v>
      </c>
      <c r="S62" s="4"/>
      <c r="T62" s="4"/>
      <c r="U62" s="4"/>
      <c r="V62" s="23"/>
      <c r="W62" s="23"/>
      <c r="X62" s="23"/>
      <c r="Y62" s="23"/>
      <c r="Z62" s="23"/>
      <c r="AA62" s="23"/>
      <c r="AB62" s="23"/>
      <c r="AC62" s="4" t="s">
        <v>496</v>
      </c>
      <c r="AD62" s="26" t="n">
        <f aca="false">COUNTA(V62:AA62)</f>
        <v>0</v>
      </c>
      <c r="AE62" s="27"/>
      <c r="AF62" s="27" t="s">
        <v>34</v>
      </c>
      <c r="AG62" s="28"/>
      <c r="AH62" s="27"/>
      <c r="AI62" s="27"/>
      <c r="AJ62" s="27"/>
      <c r="AK62" s="27"/>
      <c r="AL62" s="28"/>
      <c r="AM62" s="28"/>
      <c r="AN62" s="29"/>
      <c r="AO62" s="4" t="str">
        <f aca="false">IFERROR(INDEX(Playbook!$C$4:$C$17,MATCH($AF62,Playbook!$A$4:$A$17,0)),"")</f>
        <v>Read the row: tier, segment, trigger, reason we lose them. Check contact coverage; if 0, enrich before anything else.</v>
      </c>
      <c r="AP62" s="23" t="str">
        <f aca="false">IFERROR(INDEX(Playbook!$D$4:$D$17,MATCH($AF62,Playbook!$A$4:$A$17,0)),"")</f>
        <v>—</v>
      </c>
      <c r="AQ62" s="4" t="str">
        <f aca="false">IFERROR(INDEX(Playbook!$E$4:$E$17,MATCH($AF62,Playbook!$A$4:$A$17,0)),"")</f>
        <v>Row read and a contact channel exists</v>
      </c>
      <c r="AR62" s="30" t="n">
        <f aca="false">IFERROR(INDEX(Playbook!$G$4:$G$17,MATCH($AF62,Playbook!$A$4:$A$17,0)),0)</f>
        <v>0</v>
      </c>
      <c r="AS62" s="31" t="n">
        <f aca="false">IFERROR(INDEX('Pricing &amp; Pilot'!$D$4:$D$6,MATCH($D62,'Pricing &amp; Pilot'!$A$4:$A$6,0)),0)</f>
        <v>0</v>
      </c>
      <c r="AT62" s="31" t="n">
        <f aca="false">AS62*AR62</f>
        <v>0</v>
      </c>
      <c r="AU62" s="23" t="str">
        <f aca="true">IF(AL62="","",TODAY()-AL62)</f>
        <v/>
      </c>
      <c r="AV62" s="23" t="str">
        <f aca="true">IF(AM62="","",IF(AND(AM62&lt;TODAY(),$AF62&lt;&gt;"Customer",$AF62&lt;&gt;"Lost",$AF62&lt;&gt;"Not a fit"),"OVERDUE",""))</f>
        <v/>
      </c>
      <c r="AW62" s="23" t="str">
        <f aca="false">IF(AV62="OVERDUE","RED",IF($AF62="Not started","—",IF($AF62="Customer","GREEN",IF(OR($AF62="Lost",$AF62="Not a fit"),"CLOSED","AMBER"))))</f>
        <v>—</v>
      </c>
    </row>
    <row r="63" customFormat="false" ht="48" hidden="false" customHeight="true" outlineLevel="0" collapsed="false">
      <c r="A63" s="23" t="n">
        <v>62</v>
      </c>
      <c r="B63" s="34" t="s">
        <v>454</v>
      </c>
      <c r="C63" s="23" t="str">
        <f aca="false">IF(OR(B63="A",B63="B"),"Yes","No")</f>
        <v>No</v>
      </c>
      <c r="D63" s="23"/>
      <c r="E63" s="23" t="s">
        <v>497</v>
      </c>
      <c r="F63" s="23" t="s">
        <v>498</v>
      </c>
      <c r="G63" s="23"/>
      <c r="H63" s="23"/>
      <c r="I63" s="4"/>
      <c r="J63" s="23" t="s">
        <v>133</v>
      </c>
      <c r="K63" s="23" t="s">
        <v>134</v>
      </c>
      <c r="L63" s="23" t="s">
        <v>134</v>
      </c>
      <c r="M63" s="25" t="n">
        <v>55.6</v>
      </c>
      <c r="N63" s="23" t="s">
        <v>422</v>
      </c>
      <c r="O63" s="23" t="s">
        <v>136</v>
      </c>
      <c r="P63" s="4" t="s">
        <v>462</v>
      </c>
      <c r="Q63" s="4" t="s">
        <v>155</v>
      </c>
      <c r="R63" s="4" t="s">
        <v>463</v>
      </c>
      <c r="S63" s="4"/>
      <c r="T63" s="4"/>
      <c r="U63" s="4"/>
      <c r="V63" s="23"/>
      <c r="W63" s="23"/>
      <c r="X63" s="23"/>
      <c r="Y63" s="23"/>
      <c r="Z63" s="23"/>
      <c r="AA63" s="23"/>
      <c r="AB63" s="23"/>
      <c r="AC63" s="4" t="s">
        <v>499</v>
      </c>
      <c r="AD63" s="26" t="n">
        <f aca="false">COUNTA(V63:AA63)</f>
        <v>0</v>
      </c>
      <c r="AE63" s="27"/>
      <c r="AF63" s="27" t="s">
        <v>34</v>
      </c>
      <c r="AG63" s="28"/>
      <c r="AH63" s="27"/>
      <c r="AI63" s="27"/>
      <c r="AJ63" s="27"/>
      <c r="AK63" s="27"/>
      <c r="AL63" s="28"/>
      <c r="AM63" s="28"/>
      <c r="AN63" s="29"/>
      <c r="AO63" s="4" t="str">
        <f aca="false">IFERROR(INDEX(Playbook!$C$4:$C$17,MATCH($AF63,Playbook!$A$4:$A$17,0)),"")</f>
        <v>Read the row: tier, segment, trigger, reason we lose them. Check contact coverage; if 0, enrich before anything else.</v>
      </c>
      <c r="AP63" s="23" t="str">
        <f aca="false">IFERROR(INDEX(Playbook!$D$4:$D$17,MATCH($AF63,Playbook!$A$4:$A$17,0)),"")</f>
        <v>—</v>
      </c>
      <c r="AQ63" s="4" t="str">
        <f aca="false">IFERROR(INDEX(Playbook!$E$4:$E$17,MATCH($AF63,Playbook!$A$4:$A$17,0)),"")</f>
        <v>Row read and a contact channel exists</v>
      </c>
      <c r="AR63" s="30" t="n">
        <f aca="false">IFERROR(INDEX(Playbook!$G$4:$G$17,MATCH($AF63,Playbook!$A$4:$A$17,0)),0)</f>
        <v>0</v>
      </c>
      <c r="AS63" s="31" t="n">
        <f aca="false">IFERROR(INDEX('Pricing &amp; Pilot'!$D$4:$D$6,MATCH($D63,'Pricing &amp; Pilot'!$A$4:$A$6,0)),0)</f>
        <v>0</v>
      </c>
      <c r="AT63" s="31" t="n">
        <f aca="false">AS63*AR63</f>
        <v>0</v>
      </c>
      <c r="AU63" s="23" t="str">
        <f aca="true">IF(AL63="","",TODAY()-AL63)</f>
        <v/>
      </c>
      <c r="AV63" s="23" t="str">
        <f aca="true">IF(AM63="","",IF(AND(AM63&lt;TODAY(),$AF63&lt;&gt;"Customer",$AF63&lt;&gt;"Lost",$AF63&lt;&gt;"Not a fit"),"OVERDUE",""))</f>
        <v/>
      </c>
      <c r="AW63" s="23" t="str">
        <f aca="false">IF(AV63="OVERDUE","RED",IF($AF63="Not started","—",IF($AF63="Customer","GREEN",IF(OR($AF63="Lost",$AF63="Not a fit"),"CLOSED","AMBER"))))</f>
        <v>—</v>
      </c>
    </row>
    <row r="64" customFormat="false" ht="48" hidden="false" customHeight="true" outlineLevel="0" collapsed="false">
      <c r="A64" s="23" t="n">
        <v>63</v>
      </c>
      <c r="B64" s="34" t="s">
        <v>454</v>
      </c>
      <c r="C64" s="23" t="str">
        <f aca="false">IF(OR(B64="A",B64="B"),"Yes","No")</f>
        <v>No</v>
      </c>
      <c r="D64" s="23"/>
      <c r="E64" s="23" t="s">
        <v>500</v>
      </c>
      <c r="F64" s="23" t="s">
        <v>501</v>
      </c>
      <c r="G64" s="23"/>
      <c r="H64" s="23"/>
      <c r="I64" s="4"/>
      <c r="J64" s="23" t="s">
        <v>133</v>
      </c>
      <c r="K64" s="23" t="s">
        <v>134</v>
      </c>
      <c r="L64" s="23" t="s">
        <v>134</v>
      </c>
      <c r="M64" s="25" t="n">
        <v>55.6</v>
      </c>
      <c r="N64" s="23" t="s">
        <v>422</v>
      </c>
      <c r="O64" s="23" t="s">
        <v>136</v>
      </c>
      <c r="P64" s="4" t="s">
        <v>462</v>
      </c>
      <c r="Q64" s="4" t="s">
        <v>155</v>
      </c>
      <c r="R64" s="4" t="s">
        <v>463</v>
      </c>
      <c r="S64" s="4"/>
      <c r="T64" s="4"/>
      <c r="U64" s="4"/>
      <c r="V64" s="23"/>
      <c r="W64" s="23"/>
      <c r="X64" s="23"/>
      <c r="Y64" s="23"/>
      <c r="Z64" s="23"/>
      <c r="AA64" s="23"/>
      <c r="AB64" s="23"/>
      <c r="AC64" s="4" t="s">
        <v>502</v>
      </c>
      <c r="AD64" s="26" t="n">
        <f aca="false">COUNTA(V64:AA64)</f>
        <v>0</v>
      </c>
      <c r="AE64" s="27"/>
      <c r="AF64" s="27" t="s">
        <v>34</v>
      </c>
      <c r="AG64" s="28"/>
      <c r="AH64" s="27"/>
      <c r="AI64" s="27"/>
      <c r="AJ64" s="27"/>
      <c r="AK64" s="27"/>
      <c r="AL64" s="28"/>
      <c r="AM64" s="28"/>
      <c r="AN64" s="29"/>
      <c r="AO64" s="4" t="str">
        <f aca="false">IFERROR(INDEX(Playbook!$C$4:$C$17,MATCH($AF64,Playbook!$A$4:$A$17,0)),"")</f>
        <v>Read the row: tier, segment, trigger, reason we lose them. Check contact coverage; if 0, enrich before anything else.</v>
      </c>
      <c r="AP64" s="23" t="str">
        <f aca="false">IFERROR(INDEX(Playbook!$D$4:$D$17,MATCH($AF64,Playbook!$A$4:$A$17,0)),"")</f>
        <v>—</v>
      </c>
      <c r="AQ64" s="4" t="str">
        <f aca="false">IFERROR(INDEX(Playbook!$E$4:$E$17,MATCH($AF64,Playbook!$A$4:$A$17,0)),"")</f>
        <v>Row read and a contact channel exists</v>
      </c>
      <c r="AR64" s="30" t="n">
        <f aca="false">IFERROR(INDEX(Playbook!$G$4:$G$17,MATCH($AF64,Playbook!$A$4:$A$17,0)),0)</f>
        <v>0</v>
      </c>
      <c r="AS64" s="31" t="n">
        <f aca="false">IFERROR(INDEX('Pricing &amp; Pilot'!$D$4:$D$6,MATCH($D64,'Pricing &amp; Pilot'!$A$4:$A$6,0)),0)</f>
        <v>0</v>
      </c>
      <c r="AT64" s="31" t="n">
        <f aca="false">AS64*AR64</f>
        <v>0</v>
      </c>
      <c r="AU64" s="23" t="str">
        <f aca="true">IF(AL64="","",TODAY()-AL64)</f>
        <v/>
      </c>
      <c r="AV64" s="23" t="str">
        <f aca="true">IF(AM64="","",IF(AND(AM64&lt;TODAY(),$AF64&lt;&gt;"Customer",$AF64&lt;&gt;"Lost",$AF64&lt;&gt;"Not a fit"),"OVERDUE",""))</f>
        <v/>
      </c>
      <c r="AW64" s="23" t="str">
        <f aca="false">IF(AV64="OVERDUE","RED",IF($AF64="Not started","—",IF($AF64="Customer","GREEN",IF(OR($AF64="Lost",$AF64="Not a fit"),"CLOSED","AMBER"))))</f>
        <v>—</v>
      </c>
    </row>
    <row r="65" customFormat="false" ht="48" hidden="false" customHeight="true" outlineLevel="0" collapsed="false">
      <c r="A65" s="23" t="n">
        <v>64</v>
      </c>
      <c r="B65" s="34" t="s">
        <v>454</v>
      </c>
      <c r="C65" s="23" t="str">
        <f aca="false">IF(OR(B65="A",B65="B"),"Yes","No")</f>
        <v>No</v>
      </c>
      <c r="D65" s="23"/>
      <c r="E65" s="23" t="s">
        <v>503</v>
      </c>
      <c r="F65" s="23" t="s">
        <v>504</v>
      </c>
      <c r="G65" s="23" t="s">
        <v>505</v>
      </c>
      <c r="H65" s="23"/>
      <c r="I65" s="4"/>
      <c r="J65" s="23" t="s">
        <v>133</v>
      </c>
      <c r="K65" s="23" t="s">
        <v>292</v>
      </c>
      <c r="L65" s="23" t="s">
        <v>134</v>
      </c>
      <c r="M65" s="25" t="n">
        <v>55.6</v>
      </c>
      <c r="N65" s="23" t="s">
        <v>422</v>
      </c>
      <c r="O65" s="23" t="s">
        <v>136</v>
      </c>
      <c r="P65" s="4" t="s">
        <v>462</v>
      </c>
      <c r="Q65" s="4" t="s">
        <v>155</v>
      </c>
      <c r="R65" s="4" t="s">
        <v>463</v>
      </c>
      <c r="S65" s="4"/>
      <c r="T65" s="4"/>
      <c r="U65" s="4"/>
      <c r="V65" s="23"/>
      <c r="W65" s="23"/>
      <c r="X65" s="23"/>
      <c r="Y65" s="23"/>
      <c r="Z65" s="23"/>
      <c r="AA65" s="23"/>
      <c r="AB65" s="23"/>
      <c r="AC65" s="4" t="s">
        <v>506</v>
      </c>
      <c r="AD65" s="26" t="n">
        <f aca="false">COUNTA(V65:AA65)</f>
        <v>0</v>
      </c>
      <c r="AE65" s="27"/>
      <c r="AF65" s="27" t="s">
        <v>34</v>
      </c>
      <c r="AG65" s="28"/>
      <c r="AH65" s="27"/>
      <c r="AI65" s="27"/>
      <c r="AJ65" s="27"/>
      <c r="AK65" s="27"/>
      <c r="AL65" s="28"/>
      <c r="AM65" s="28"/>
      <c r="AN65" s="29"/>
      <c r="AO65" s="4" t="str">
        <f aca="false">IFERROR(INDEX(Playbook!$C$4:$C$17,MATCH($AF65,Playbook!$A$4:$A$17,0)),"")</f>
        <v>Read the row: tier, segment, trigger, reason we lose them. Check contact coverage; if 0, enrich before anything else.</v>
      </c>
      <c r="AP65" s="23" t="str">
        <f aca="false">IFERROR(INDEX(Playbook!$D$4:$D$17,MATCH($AF65,Playbook!$A$4:$A$17,0)),"")</f>
        <v>—</v>
      </c>
      <c r="AQ65" s="4" t="str">
        <f aca="false">IFERROR(INDEX(Playbook!$E$4:$E$17,MATCH($AF65,Playbook!$A$4:$A$17,0)),"")</f>
        <v>Row read and a contact channel exists</v>
      </c>
      <c r="AR65" s="30" t="n">
        <f aca="false">IFERROR(INDEX(Playbook!$G$4:$G$17,MATCH($AF65,Playbook!$A$4:$A$17,0)),0)</f>
        <v>0</v>
      </c>
      <c r="AS65" s="31" t="n">
        <f aca="false">IFERROR(INDEX('Pricing &amp; Pilot'!$D$4:$D$6,MATCH($D65,'Pricing &amp; Pilot'!$A$4:$A$6,0)),0)</f>
        <v>0</v>
      </c>
      <c r="AT65" s="31" t="n">
        <f aca="false">AS65*AR65</f>
        <v>0</v>
      </c>
      <c r="AU65" s="23" t="str">
        <f aca="true">IF(AL65="","",TODAY()-AL65)</f>
        <v/>
      </c>
      <c r="AV65" s="23" t="str">
        <f aca="true">IF(AM65="","",IF(AND(AM65&lt;TODAY(),$AF65&lt;&gt;"Customer",$AF65&lt;&gt;"Lost",$AF65&lt;&gt;"Not a fit"),"OVERDUE",""))</f>
        <v/>
      </c>
      <c r="AW65" s="23" t="str">
        <f aca="false">IF(AV65="OVERDUE","RED",IF($AF65="Not started","—",IF($AF65="Customer","GREEN",IF(OR($AF65="Lost",$AF65="Not a fit"),"CLOSED","AMBER"))))</f>
        <v>—</v>
      </c>
    </row>
    <row r="66" customFormat="false" ht="48" hidden="false" customHeight="true" outlineLevel="0" collapsed="false">
      <c r="A66" s="23" t="n">
        <v>65</v>
      </c>
      <c r="B66" s="34" t="s">
        <v>454</v>
      </c>
      <c r="C66" s="23" t="str">
        <f aca="false">IF(OR(B66="A",B66="B"),"Yes","No")</f>
        <v>No</v>
      </c>
      <c r="D66" s="23"/>
      <c r="E66" s="23" t="s">
        <v>507</v>
      </c>
      <c r="F66" s="23" t="s">
        <v>508</v>
      </c>
      <c r="G66" s="23" t="s">
        <v>509</v>
      </c>
      <c r="H66" s="23"/>
      <c r="I66" s="4"/>
      <c r="J66" s="23" t="s">
        <v>133</v>
      </c>
      <c r="K66" s="23" t="s">
        <v>510</v>
      </c>
      <c r="L66" s="23" t="s">
        <v>134</v>
      </c>
      <c r="M66" s="25" t="n">
        <v>55.6</v>
      </c>
      <c r="N66" s="23" t="s">
        <v>422</v>
      </c>
      <c r="O66" s="23" t="s">
        <v>136</v>
      </c>
      <c r="P66" s="4" t="s">
        <v>462</v>
      </c>
      <c r="Q66" s="4" t="s">
        <v>155</v>
      </c>
      <c r="R66" s="4" t="s">
        <v>463</v>
      </c>
      <c r="S66" s="4"/>
      <c r="T66" s="4"/>
      <c r="U66" s="4"/>
      <c r="V66" s="23"/>
      <c r="W66" s="23"/>
      <c r="X66" s="23"/>
      <c r="Y66" s="23"/>
      <c r="Z66" s="23"/>
      <c r="AA66" s="23"/>
      <c r="AB66" s="23"/>
      <c r="AC66" s="4" t="s">
        <v>511</v>
      </c>
      <c r="AD66" s="26" t="n">
        <f aca="false">COUNTA(V66:AA66)</f>
        <v>0</v>
      </c>
      <c r="AE66" s="27"/>
      <c r="AF66" s="27" t="s">
        <v>34</v>
      </c>
      <c r="AG66" s="28"/>
      <c r="AH66" s="27"/>
      <c r="AI66" s="27"/>
      <c r="AJ66" s="27"/>
      <c r="AK66" s="27"/>
      <c r="AL66" s="28"/>
      <c r="AM66" s="28"/>
      <c r="AN66" s="29"/>
      <c r="AO66" s="4" t="str">
        <f aca="false">IFERROR(INDEX(Playbook!$C$4:$C$17,MATCH($AF66,Playbook!$A$4:$A$17,0)),"")</f>
        <v>Read the row: tier, segment, trigger, reason we lose them. Check contact coverage; if 0, enrich before anything else.</v>
      </c>
      <c r="AP66" s="23" t="str">
        <f aca="false">IFERROR(INDEX(Playbook!$D$4:$D$17,MATCH($AF66,Playbook!$A$4:$A$17,0)),"")</f>
        <v>—</v>
      </c>
      <c r="AQ66" s="4" t="str">
        <f aca="false">IFERROR(INDEX(Playbook!$E$4:$E$17,MATCH($AF66,Playbook!$A$4:$A$17,0)),"")</f>
        <v>Row read and a contact channel exists</v>
      </c>
      <c r="AR66" s="30" t="n">
        <f aca="false">IFERROR(INDEX(Playbook!$G$4:$G$17,MATCH($AF66,Playbook!$A$4:$A$17,0)),0)</f>
        <v>0</v>
      </c>
      <c r="AS66" s="31" t="n">
        <f aca="false">IFERROR(INDEX('Pricing &amp; Pilot'!$D$4:$D$6,MATCH($D66,'Pricing &amp; Pilot'!$A$4:$A$6,0)),0)</f>
        <v>0</v>
      </c>
      <c r="AT66" s="31" t="n">
        <f aca="false">AS66*AR66</f>
        <v>0</v>
      </c>
      <c r="AU66" s="23" t="str">
        <f aca="true">IF(AL66="","",TODAY()-AL66)</f>
        <v/>
      </c>
      <c r="AV66" s="23" t="str">
        <f aca="true">IF(AM66="","",IF(AND(AM66&lt;TODAY(),$AF66&lt;&gt;"Customer",$AF66&lt;&gt;"Lost",$AF66&lt;&gt;"Not a fit"),"OVERDUE",""))</f>
        <v/>
      </c>
      <c r="AW66" s="23" t="str">
        <f aca="false">IF(AV66="OVERDUE","RED",IF($AF66="Not started","—",IF($AF66="Customer","GREEN",IF(OR($AF66="Lost",$AF66="Not a fit"),"CLOSED","AMBER"))))</f>
        <v>—</v>
      </c>
    </row>
    <row r="67" customFormat="false" ht="48" hidden="false" customHeight="true" outlineLevel="0" collapsed="false">
      <c r="A67" s="23" t="n">
        <v>66</v>
      </c>
      <c r="B67" s="34" t="s">
        <v>454</v>
      </c>
      <c r="C67" s="23" t="str">
        <f aca="false">IF(OR(B67="A",B67="B"),"Yes","No")</f>
        <v>No</v>
      </c>
      <c r="D67" s="23"/>
      <c r="E67" s="23" t="s">
        <v>512</v>
      </c>
      <c r="F67" s="23" t="s">
        <v>513</v>
      </c>
      <c r="G67" s="23"/>
      <c r="H67" s="23"/>
      <c r="I67" s="4"/>
      <c r="J67" s="23" t="s">
        <v>133</v>
      </c>
      <c r="K67" s="23" t="s">
        <v>134</v>
      </c>
      <c r="L67" s="23" t="s">
        <v>134</v>
      </c>
      <c r="M67" s="25" t="n">
        <v>55.6</v>
      </c>
      <c r="N67" s="23" t="s">
        <v>422</v>
      </c>
      <c r="O67" s="23" t="s">
        <v>136</v>
      </c>
      <c r="P67" s="4" t="s">
        <v>462</v>
      </c>
      <c r="Q67" s="4" t="s">
        <v>155</v>
      </c>
      <c r="R67" s="4" t="s">
        <v>463</v>
      </c>
      <c r="S67" s="4"/>
      <c r="T67" s="4"/>
      <c r="U67" s="4"/>
      <c r="V67" s="23"/>
      <c r="W67" s="23"/>
      <c r="X67" s="23"/>
      <c r="Y67" s="23"/>
      <c r="Z67" s="23"/>
      <c r="AA67" s="23"/>
      <c r="AB67" s="23"/>
      <c r="AC67" s="4" t="s">
        <v>514</v>
      </c>
      <c r="AD67" s="26" t="n">
        <f aca="false">COUNTA(V67:AA67)</f>
        <v>0</v>
      </c>
      <c r="AE67" s="27"/>
      <c r="AF67" s="27" t="s">
        <v>34</v>
      </c>
      <c r="AG67" s="28"/>
      <c r="AH67" s="27"/>
      <c r="AI67" s="27"/>
      <c r="AJ67" s="27"/>
      <c r="AK67" s="27"/>
      <c r="AL67" s="28"/>
      <c r="AM67" s="28"/>
      <c r="AN67" s="29"/>
      <c r="AO67" s="4" t="str">
        <f aca="false">IFERROR(INDEX(Playbook!$C$4:$C$17,MATCH($AF67,Playbook!$A$4:$A$17,0)),"")</f>
        <v>Read the row: tier, segment, trigger, reason we lose them. Check contact coverage; if 0, enrich before anything else.</v>
      </c>
      <c r="AP67" s="23" t="str">
        <f aca="false">IFERROR(INDEX(Playbook!$D$4:$D$17,MATCH($AF67,Playbook!$A$4:$A$17,0)),"")</f>
        <v>—</v>
      </c>
      <c r="AQ67" s="4" t="str">
        <f aca="false">IFERROR(INDEX(Playbook!$E$4:$E$17,MATCH($AF67,Playbook!$A$4:$A$17,0)),"")</f>
        <v>Row read and a contact channel exists</v>
      </c>
      <c r="AR67" s="30" t="n">
        <f aca="false">IFERROR(INDEX(Playbook!$G$4:$G$17,MATCH($AF67,Playbook!$A$4:$A$17,0)),0)</f>
        <v>0</v>
      </c>
      <c r="AS67" s="31" t="n">
        <f aca="false">IFERROR(INDEX('Pricing &amp; Pilot'!$D$4:$D$6,MATCH($D67,'Pricing &amp; Pilot'!$A$4:$A$6,0)),0)</f>
        <v>0</v>
      </c>
      <c r="AT67" s="31" t="n">
        <f aca="false">AS67*AR67</f>
        <v>0</v>
      </c>
      <c r="AU67" s="23" t="str">
        <f aca="true">IF(AL67="","",TODAY()-AL67)</f>
        <v/>
      </c>
      <c r="AV67" s="23" t="str">
        <f aca="true">IF(AM67="","",IF(AND(AM67&lt;TODAY(),$AF67&lt;&gt;"Customer",$AF67&lt;&gt;"Lost",$AF67&lt;&gt;"Not a fit"),"OVERDUE",""))</f>
        <v/>
      </c>
      <c r="AW67" s="23" t="str">
        <f aca="false">IF(AV67="OVERDUE","RED",IF($AF67="Not started","—",IF($AF67="Customer","GREEN",IF(OR($AF67="Lost",$AF67="Not a fit"),"CLOSED","AMBER"))))</f>
        <v>—</v>
      </c>
    </row>
    <row r="68" customFormat="false" ht="48" hidden="false" customHeight="true" outlineLevel="0" collapsed="false">
      <c r="A68" s="23" t="n">
        <v>67</v>
      </c>
      <c r="B68" s="34" t="s">
        <v>454</v>
      </c>
      <c r="C68" s="23" t="str">
        <f aca="false">IF(OR(B68="A",B68="B"),"Yes","No")</f>
        <v>No</v>
      </c>
      <c r="D68" s="23"/>
      <c r="E68" s="23" t="s">
        <v>515</v>
      </c>
      <c r="F68" s="23" t="s">
        <v>516</v>
      </c>
      <c r="G68" s="23"/>
      <c r="H68" s="23"/>
      <c r="I68" s="4"/>
      <c r="J68" s="23" t="s">
        <v>133</v>
      </c>
      <c r="K68" s="23" t="s">
        <v>517</v>
      </c>
      <c r="L68" s="23" t="s">
        <v>134</v>
      </c>
      <c r="M68" s="25" t="n">
        <v>55.6</v>
      </c>
      <c r="N68" s="23" t="s">
        <v>422</v>
      </c>
      <c r="O68" s="23" t="s">
        <v>136</v>
      </c>
      <c r="P68" s="4" t="s">
        <v>468</v>
      </c>
      <c r="Q68" s="4" t="s">
        <v>155</v>
      </c>
      <c r="R68" s="4" t="s">
        <v>463</v>
      </c>
      <c r="S68" s="4"/>
      <c r="T68" s="4"/>
      <c r="U68" s="4"/>
      <c r="V68" s="23" t="s">
        <v>518</v>
      </c>
      <c r="W68" s="23"/>
      <c r="X68" s="23"/>
      <c r="Y68" s="23"/>
      <c r="Z68" s="23"/>
      <c r="AA68" s="23"/>
      <c r="AB68" s="23"/>
      <c r="AC68" s="4" t="s">
        <v>519</v>
      </c>
      <c r="AD68" s="26" t="n">
        <f aca="false">COUNTA(V68:AA68)</f>
        <v>1</v>
      </c>
      <c r="AE68" s="27"/>
      <c r="AF68" s="27" t="s">
        <v>34</v>
      </c>
      <c r="AG68" s="28"/>
      <c r="AH68" s="27"/>
      <c r="AI68" s="27"/>
      <c r="AJ68" s="27"/>
      <c r="AK68" s="27"/>
      <c r="AL68" s="28"/>
      <c r="AM68" s="28"/>
      <c r="AN68" s="29"/>
      <c r="AO68" s="4" t="str">
        <f aca="false">IFERROR(INDEX(Playbook!$C$4:$C$17,MATCH($AF68,Playbook!$A$4:$A$17,0)),"")</f>
        <v>Read the row: tier, segment, trigger, reason we lose them. Check contact coverage; if 0, enrich before anything else.</v>
      </c>
      <c r="AP68" s="23" t="str">
        <f aca="false">IFERROR(INDEX(Playbook!$D$4:$D$17,MATCH($AF68,Playbook!$A$4:$A$17,0)),"")</f>
        <v>—</v>
      </c>
      <c r="AQ68" s="4" t="str">
        <f aca="false">IFERROR(INDEX(Playbook!$E$4:$E$17,MATCH($AF68,Playbook!$A$4:$A$17,0)),"")</f>
        <v>Row read and a contact channel exists</v>
      </c>
      <c r="AR68" s="30" t="n">
        <f aca="false">IFERROR(INDEX(Playbook!$G$4:$G$17,MATCH($AF68,Playbook!$A$4:$A$17,0)),0)</f>
        <v>0</v>
      </c>
      <c r="AS68" s="31" t="n">
        <f aca="false">IFERROR(INDEX('Pricing &amp; Pilot'!$D$4:$D$6,MATCH($D68,'Pricing &amp; Pilot'!$A$4:$A$6,0)),0)</f>
        <v>0</v>
      </c>
      <c r="AT68" s="31" t="n">
        <f aca="false">AS68*AR68</f>
        <v>0</v>
      </c>
      <c r="AU68" s="23" t="str">
        <f aca="true">IF(AL68="","",TODAY()-AL68)</f>
        <v/>
      </c>
      <c r="AV68" s="23" t="str">
        <f aca="true">IF(AM68="","",IF(AND(AM68&lt;TODAY(),$AF68&lt;&gt;"Customer",$AF68&lt;&gt;"Lost",$AF68&lt;&gt;"Not a fit"),"OVERDUE",""))</f>
        <v/>
      </c>
      <c r="AW68" s="23" t="str">
        <f aca="false">IF(AV68="OVERDUE","RED",IF($AF68="Not started","—",IF($AF68="Customer","GREEN",IF(OR($AF68="Lost",$AF68="Not a fit"),"CLOSED","AMBER"))))</f>
        <v>—</v>
      </c>
    </row>
    <row r="69" customFormat="false" ht="48" hidden="false" customHeight="true" outlineLevel="0" collapsed="false">
      <c r="A69" s="23" t="n">
        <v>68</v>
      </c>
      <c r="B69" s="34" t="s">
        <v>454</v>
      </c>
      <c r="C69" s="23" t="str">
        <f aca="false">IF(OR(B69="A",B69="B"),"Yes","No")</f>
        <v>No</v>
      </c>
      <c r="D69" s="23"/>
      <c r="E69" s="23" t="s">
        <v>520</v>
      </c>
      <c r="F69" s="23" t="s">
        <v>521</v>
      </c>
      <c r="G69" s="23"/>
      <c r="H69" s="23"/>
      <c r="I69" s="4"/>
      <c r="J69" s="23" t="s">
        <v>133</v>
      </c>
      <c r="K69" s="23" t="s">
        <v>134</v>
      </c>
      <c r="L69" s="23" t="s">
        <v>134</v>
      </c>
      <c r="M69" s="25" t="n">
        <v>55.6</v>
      </c>
      <c r="N69" s="23" t="s">
        <v>422</v>
      </c>
      <c r="O69" s="23" t="s">
        <v>136</v>
      </c>
      <c r="P69" s="4" t="s">
        <v>462</v>
      </c>
      <c r="Q69" s="4" t="s">
        <v>155</v>
      </c>
      <c r="R69" s="4" t="s">
        <v>463</v>
      </c>
      <c r="S69" s="4"/>
      <c r="T69" s="4"/>
      <c r="U69" s="4"/>
      <c r="V69" s="23"/>
      <c r="W69" s="23"/>
      <c r="X69" s="23"/>
      <c r="Y69" s="23"/>
      <c r="Z69" s="23"/>
      <c r="AA69" s="23"/>
      <c r="AB69" s="23"/>
      <c r="AC69" s="4" t="s">
        <v>522</v>
      </c>
      <c r="AD69" s="26" t="n">
        <f aca="false">COUNTA(V69:AA69)</f>
        <v>0</v>
      </c>
      <c r="AE69" s="27"/>
      <c r="AF69" s="27" t="s">
        <v>34</v>
      </c>
      <c r="AG69" s="28"/>
      <c r="AH69" s="27"/>
      <c r="AI69" s="27"/>
      <c r="AJ69" s="27"/>
      <c r="AK69" s="27"/>
      <c r="AL69" s="28"/>
      <c r="AM69" s="28"/>
      <c r="AN69" s="29"/>
      <c r="AO69" s="4" t="str">
        <f aca="false">IFERROR(INDEX(Playbook!$C$4:$C$17,MATCH($AF69,Playbook!$A$4:$A$17,0)),"")</f>
        <v>Read the row: tier, segment, trigger, reason we lose them. Check contact coverage; if 0, enrich before anything else.</v>
      </c>
      <c r="AP69" s="23" t="str">
        <f aca="false">IFERROR(INDEX(Playbook!$D$4:$D$17,MATCH($AF69,Playbook!$A$4:$A$17,0)),"")</f>
        <v>—</v>
      </c>
      <c r="AQ69" s="4" t="str">
        <f aca="false">IFERROR(INDEX(Playbook!$E$4:$E$17,MATCH($AF69,Playbook!$A$4:$A$17,0)),"")</f>
        <v>Row read and a contact channel exists</v>
      </c>
      <c r="AR69" s="30" t="n">
        <f aca="false">IFERROR(INDEX(Playbook!$G$4:$G$17,MATCH($AF69,Playbook!$A$4:$A$17,0)),0)</f>
        <v>0</v>
      </c>
      <c r="AS69" s="31" t="n">
        <f aca="false">IFERROR(INDEX('Pricing &amp; Pilot'!$D$4:$D$6,MATCH($D69,'Pricing &amp; Pilot'!$A$4:$A$6,0)),0)</f>
        <v>0</v>
      </c>
      <c r="AT69" s="31" t="n">
        <f aca="false">AS69*AR69</f>
        <v>0</v>
      </c>
      <c r="AU69" s="23" t="str">
        <f aca="true">IF(AL69="","",TODAY()-AL69)</f>
        <v/>
      </c>
      <c r="AV69" s="23" t="str">
        <f aca="true">IF(AM69="","",IF(AND(AM69&lt;TODAY(),$AF69&lt;&gt;"Customer",$AF69&lt;&gt;"Lost",$AF69&lt;&gt;"Not a fit"),"OVERDUE",""))</f>
        <v/>
      </c>
      <c r="AW69" s="23" t="str">
        <f aca="false">IF(AV69="OVERDUE","RED",IF($AF69="Not started","—",IF($AF69="Customer","GREEN",IF(OR($AF69="Lost",$AF69="Not a fit"),"CLOSED","AMBER"))))</f>
        <v>—</v>
      </c>
    </row>
    <row r="70" customFormat="false" ht="48" hidden="false" customHeight="true" outlineLevel="0" collapsed="false">
      <c r="A70" s="23" t="n">
        <v>69</v>
      </c>
      <c r="B70" s="34" t="s">
        <v>454</v>
      </c>
      <c r="C70" s="23" t="str">
        <f aca="false">IF(OR(B70="A",B70="B"),"Yes","No")</f>
        <v>No</v>
      </c>
      <c r="D70" s="23"/>
      <c r="E70" s="23" t="s">
        <v>523</v>
      </c>
      <c r="F70" s="23" t="s">
        <v>524</v>
      </c>
      <c r="G70" s="23" t="s">
        <v>525</v>
      </c>
      <c r="H70" s="23"/>
      <c r="I70" s="4"/>
      <c r="J70" s="23" t="s">
        <v>133</v>
      </c>
      <c r="K70" s="23" t="s">
        <v>134</v>
      </c>
      <c r="L70" s="23" t="s">
        <v>134</v>
      </c>
      <c r="M70" s="25" t="n">
        <v>55.6</v>
      </c>
      <c r="N70" s="23" t="s">
        <v>422</v>
      </c>
      <c r="O70" s="23" t="s">
        <v>136</v>
      </c>
      <c r="P70" s="4" t="s">
        <v>462</v>
      </c>
      <c r="Q70" s="4" t="s">
        <v>155</v>
      </c>
      <c r="R70" s="4" t="s">
        <v>463</v>
      </c>
      <c r="S70" s="4"/>
      <c r="T70" s="4"/>
      <c r="U70" s="4"/>
      <c r="V70" s="23"/>
      <c r="W70" s="23"/>
      <c r="X70" s="23"/>
      <c r="Y70" s="23"/>
      <c r="Z70" s="23"/>
      <c r="AA70" s="23"/>
      <c r="AB70" s="23"/>
      <c r="AC70" s="4" t="s">
        <v>526</v>
      </c>
      <c r="AD70" s="26" t="n">
        <f aca="false">COUNTA(V70:AA70)</f>
        <v>0</v>
      </c>
      <c r="AE70" s="27"/>
      <c r="AF70" s="27" t="s">
        <v>34</v>
      </c>
      <c r="AG70" s="28"/>
      <c r="AH70" s="27"/>
      <c r="AI70" s="27"/>
      <c r="AJ70" s="27"/>
      <c r="AK70" s="27"/>
      <c r="AL70" s="28"/>
      <c r="AM70" s="28"/>
      <c r="AN70" s="29"/>
      <c r="AO70" s="4" t="str">
        <f aca="false">IFERROR(INDEX(Playbook!$C$4:$C$17,MATCH($AF70,Playbook!$A$4:$A$17,0)),"")</f>
        <v>Read the row: tier, segment, trigger, reason we lose them. Check contact coverage; if 0, enrich before anything else.</v>
      </c>
      <c r="AP70" s="23" t="str">
        <f aca="false">IFERROR(INDEX(Playbook!$D$4:$D$17,MATCH($AF70,Playbook!$A$4:$A$17,0)),"")</f>
        <v>—</v>
      </c>
      <c r="AQ70" s="4" t="str">
        <f aca="false">IFERROR(INDEX(Playbook!$E$4:$E$17,MATCH($AF70,Playbook!$A$4:$A$17,0)),"")</f>
        <v>Row read and a contact channel exists</v>
      </c>
      <c r="AR70" s="30" t="n">
        <f aca="false">IFERROR(INDEX(Playbook!$G$4:$G$17,MATCH($AF70,Playbook!$A$4:$A$17,0)),0)</f>
        <v>0</v>
      </c>
      <c r="AS70" s="31" t="n">
        <f aca="false">IFERROR(INDEX('Pricing &amp; Pilot'!$D$4:$D$6,MATCH($D70,'Pricing &amp; Pilot'!$A$4:$A$6,0)),0)</f>
        <v>0</v>
      </c>
      <c r="AT70" s="31" t="n">
        <f aca="false">AS70*AR70</f>
        <v>0</v>
      </c>
      <c r="AU70" s="23" t="str">
        <f aca="true">IF(AL70="","",TODAY()-AL70)</f>
        <v/>
      </c>
      <c r="AV70" s="23" t="str">
        <f aca="true">IF(AM70="","",IF(AND(AM70&lt;TODAY(),$AF70&lt;&gt;"Customer",$AF70&lt;&gt;"Lost",$AF70&lt;&gt;"Not a fit"),"OVERDUE",""))</f>
        <v/>
      </c>
      <c r="AW70" s="23" t="str">
        <f aca="false">IF(AV70="OVERDUE","RED",IF($AF70="Not started","—",IF($AF70="Customer","GREEN",IF(OR($AF70="Lost",$AF70="Not a fit"),"CLOSED","AMBER"))))</f>
        <v>—</v>
      </c>
    </row>
    <row r="71" customFormat="false" ht="48" hidden="false" customHeight="true" outlineLevel="0" collapsed="false">
      <c r="A71" s="23" t="n">
        <v>70</v>
      </c>
      <c r="B71" s="34" t="s">
        <v>454</v>
      </c>
      <c r="C71" s="23" t="str">
        <f aca="false">IF(OR(B71="A",B71="B"),"Yes","No")</f>
        <v>No</v>
      </c>
      <c r="D71" s="23"/>
      <c r="E71" s="23" t="s">
        <v>527</v>
      </c>
      <c r="F71" s="23" t="s">
        <v>528</v>
      </c>
      <c r="G71" s="23"/>
      <c r="H71" s="23"/>
      <c r="I71" s="4"/>
      <c r="J71" s="23" t="s">
        <v>133</v>
      </c>
      <c r="K71" s="23" t="s">
        <v>265</v>
      </c>
      <c r="L71" s="23" t="s">
        <v>134</v>
      </c>
      <c r="M71" s="25" t="n">
        <v>55.6</v>
      </c>
      <c r="N71" s="23" t="s">
        <v>422</v>
      </c>
      <c r="O71" s="23" t="s">
        <v>136</v>
      </c>
      <c r="P71" s="4" t="s">
        <v>462</v>
      </c>
      <c r="Q71" s="4" t="s">
        <v>155</v>
      </c>
      <c r="R71" s="4" t="s">
        <v>463</v>
      </c>
      <c r="S71" s="4"/>
      <c r="T71" s="4"/>
      <c r="U71" s="4"/>
      <c r="V71" s="23"/>
      <c r="W71" s="23"/>
      <c r="X71" s="23"/>
      <c r="Y71" s="23"/>
      <c r="Z71" s="23"/>
      <c r="AA71" s="23"/>
      <c r="AB71" s="23"/>
      <c r="AC71" s="4" t="s">
        <v>529</v>
      </c>
      <c r="AD71" s="26" t="n">
        <f aca="false">COUNTA(V71:AA71)</f>
        <v>0</v>
      </c>
      <c r="AE71" s="27"/>
      <c r="AF71" s="27" t="s">
        <v>34</v>
      </c>
      <c r="AG71" s="28"/>
      <c r="AH71" s="27"/>
      <c r="AI71" s="27"/>
      <c r="AJ71" s="27"/>
      <c r="AK71" s="27"/>
      <c r="AL71" s="28"/>
      <c r="AM71" s="28"/>
      <c r="AN71" s="29"/>
      <c r="AO71" s="4" t="str">
        <f aca="false">IFERROR(INDEX(Playbook!$C$4:$C$17,MATCH($AF71,Playbook!$A$4:$A$17,0)),"")</f>
        <v>Read the row: tier, segment, trigger, reason we lose them. Check contact coverage; if 0, enrich before anything else.</v>
      </c>
      <c r="AP71" s="23" t="str">
        <f aca="false">IFERROR(INDEX(Playbook!$D$4:$D$17,MATCH($AF71,Playbook!$A$4:$A$17,0)),"")</f>
        <v>—</v>
      </c>
      <c r="AQ71" s="4" t="str">
        <f aca="false">IFERROR(INDEX(Playbook!$E$4:$E$17,MATCH($AF71,Playbook!$A$4:$A$17,0)),"")</f>
        <v>Row read and a contact channel exists</v>
      </c>
      <c r="AR71" s="30" t="n">
        <f aca="false">IFERROR(INDEX(Playbook!$G$4:$G$17,MATCH($AF71,Playbook!$A$4:$A$17,0)),0)</f>
        <v>0</v>
      </c>
      <c r="AS71" s="31" t="n">
        <f aca="false">IFERROR(INDEX('Pricing &amp; Pilot'!$D$4:$D$6,MATCH($D71,'Pricing &amp; Pilot'!$A$4:$A$6,0)),0)</f>
        <v>0</v>
      </c>
      <c r="AT71" s="31" t="n">
        <f aca="false">AS71*AR71</f>
        <v>0</v>
      </c>
      <c r="AU71" s="23" t="str">
        <f aca="true">IF(AL71="","",TODAY()-AL71)</f>
        <v/>
      </c>
      <c r="AV71" s="23" t="str">
        <f aca="true">IF(AM71="","",IF(AND(AM71&lt;TODAY(),$AF71&lt;&gt;"Customer",$AF71&lt;&gt;"Lost",$AF71&lt;&gt;"Not a fit"),"OVERDUE",""))</f>
        <v/>
      </c>
      <c r="AW71" s="23" t="str">
        <f aca="false">IF(AV71="OVERDUE","RED",IF($AF71="Not started","—",IF($AF71="Customer","GREEN",IF(OR($AF71="Lost",$AF71="Not a fit"),"CLOSED","AMBER"))))</f>
        <v>—</v>
      </c>
    </row>
    <row r="72" customFormat="false" ht="48" hidden="false" customHeight="true" outlineLevel="0" collapsed="false">
      <c r="A72" s="23" t="n">
        <v>71</v>
      </c>
      <c r="B72" s="34" t="s">
        <v>454</v>
      </c>
      <c r="C72" s="23" t="str">
        <f aca="false">IF(OR(B72="A",B72="B"),"Yes","No")</f>
        <v>No</v>
      </c>
      <c r="D72" s="23"/>
      <c r="E72" s="23" t="s">
        <v>530</v>
      </c>
      <c r="F72" s="23" t="s">
        <v>531</v>
      </c>
      <c r="G72" s="23"/>
      <c r="H72" s="23"/>
      <c r="I72" s="4"/>
      <c r="J72" s="23" t="s">
        <v>133</v>
      </c>
      <c r="K72" s="23" t="s">
        <v>265</v>
      </c>
      <c r="L72" s="23" t="s">
        <v>134</v>
      </c>
      <c r="M72" s="25" t="n">
        <v>55.6</v>
      </c>
      <c r="N72" s="23" t="s">
        <v>422</v>
      </c>
      <c r="O72" s="23" t="s">
        <v>136</v>
      </c>
      <c r="P72" s="4" t="s">
        <v>462</v>
      </c>
      <c r="Q72" s="4" t="s">
        <v>155</v>
      </c>
      <c r="R72" s="4" t="s">
        <v>463</v>
      </c>
      <c r="S72" s="4"/>
      <c r="T72" s="4"/>
      <c r="U72" s="4"/>
      <c r="V72" s="23"/>
      <c r="W72" s="23"/>
      <c r="X72" s="23"/>
      <c r="Y72" s="23"/>
      <c r="Z72" s="23"/>
      <c r="AA72" s="23"/>
      <c r="AB72" s="23"/>
      <c r="AC72" s="4" t="s">
        <v>532</v>
      </c>
      <c r="AD72" s="26" t="n">
        <f aca="false">COUNTA(V72:AA72)</f>
        <v>0</v>
      </c>
      <c r="AE72" s="27"/>
      <c r="AF72" s="27" t="s">
        <v>34</v>
      </c>
      <c r="AG72" s="28"/>
      <c r="AH72" s="27"/>
      <c r="AI72" s="27"/>
      <c r="AJ72" s="27"/>
      <c r="AK72" s="27"/>
      <c r="AL72" s="28"/>
      <c r="AM72" s="28"/>
      <c r="AN72" s="29"/>
      <c r="AO72" s="4" t="str">
        <f aca="false">IFERROR(INDEX(Playbook!$C$4:$C$17,MATCH($AF72,Playbook!$A$4:$A$17,0)),"")</f>
        <v>Read the row: tier, segment, trigger, reason we lose them. Check contact coverage; if 0, enrich before anything else.</v>
      </c>
      <c r="AP72" s="23" t="str">
        <f aca="false">IFERROR(INDEX(Playbook!$D$4:$D$17,MATCH($AF72,Playbook!$A$4:$A$17,0)),"")</f>
        <v>—</v>
      </c>
      <c r="AQ72" s="4" t="str">
        <f aca="false">IFERROR(INDEX(Playbook!$E$4:$E$17,MATCH($AF72,Playbook!$A$4:$A$17,0)),"")</f>
        <v>Row read and a contact channel exists</v>
      </c>
      <c r="AR72" s="30" t="n">
        <f aca="false">IFERROR(INDEX(Playbook!$G$4:$G$17,MATCH($AF72,Playbook!$A$4:$A$17,0)),0)</f>
        <v>0</v>
      </c>
      <c r="AS72" s="31" t="n">
        <f aca="false">IFERROR(INDEX('Pricing &amp; Pilot'!$D$4:$D$6,MATCH($D72,'Pricing &amp; Pilot'!$A$4:$A$6,0)),0)</f>
        <v>0</v>
      </c>
      <c r="AT72" s="31" t="n">
        <f aca="false">AS72*AR72</f>
        <v>0</v>
      </c>
      <c r="AU72" s="23" t="str">
        <f aca="true">IF(AL72="","",TODAY()-AL72)</f>
        <v/>
      </c>
      <c r="AV72" s="23" t="str">
        <f aca="true">IF(AM72="","",IF(AND(AM72&lt;TODAY(),$AF72&lt;&gt;"Customer",$AF72&lt;&gt;"Lost",$AF72&lt;&gt;"Not a fit"),"OVERDUE",""))</f>
        <v/>
      </c>
      <c r="AW72" s="23" t="str">
        <f aca="false">IF(AV72="OVERDUE","RED",IF($AF72="Not started","—",IF($AF72="Customer","GREEN",IF(OR($AF72="Lost",$AF72="Not a fit"),"CLOSED","AMBER"))))</f>
        <v>—</v>
      </c>
    </row>
    <row r="73" customFormat="false" ht="48" hidden="false" customHeight="true" outlineLevel="0" collapsed="false">
      <c r="A73" s="23" t="n">
        <v>72</v>
      </c>
      <c r="B73" s="34" t="s">
        <v>454</v>
      </c>
      <c r="C73" s="23" t="str">
        <f aca="false">IF(OR(B73="A",B73="B"),"Yes","No")</f>
        <v>No</v>
      </c>
      <c r="D73" s="23"/>
      <c r="E73" s="23" t="s">
        <v>533</v>
      </c>
      <c r="F73" s="23" t="s">
        <v>534</v>
      </c>
      <c r="G73" s="23"/>
      <c r="H73" s="23"/>
      <c r="I73" s="4"/>
      <c r="J73" s="23" t="s">
        <v>133</v>
      </c>
      <c r="K73" s="23" t="s">
        <v>134</v>
      </c>
      <c r="L73" s="23" t="s">
        <v>134</v>
      </c>
      <c r="M73" s="25" t="n">
        <v>55.6</v>
      </c>
      <c r="N73" s="23" t="s">
        <v>422</v>
      </c>
      <c r="O73" s="23" t="s">
        <v>136</v>
      </c>
      <c r="P73" s="4" t="s">
        <v>462</v>
      </c>
      <c r="Q73" s="4" t="s">
        <v>155</v>
      </c>
      <c r="R73" s="4" t="s">
        <v>463</v>
      </c>
      <c r="S73" s="4"/>
      <c r="T73" s="4"/>
      <c r="U73" s="4"/>
      <c r="V73" s="23"/>
      <c r="W73" s="23"/>
      <c r="X73" s="23" t="s">
        <v>535</v>
      </c>
      <c r="Y73" s="23"/>
      <c r="Z73" s="23"/>
      <c r="AA73" s="23"/>
      <c r="AB73" s="23"/>
      <c r="AC73" s="4" t="s">
        <v>535</v>
      </c>
      <c r="AD73" s="26" t="n">
        <f aca="false">COUNTA(V73:AA73)</f>
        <v>1</v>
      </c>
      <c r="AE73" s="27"/>
      <c r="AF73" s="27" t="s">
        <v>34</v>
      </c>
      <c r="AG73" s="28"/>
      <c r="AH73" s="27"/>
      <c r="AI73" s="27"/>
      <c r="AJ73" s="27"/>
      <c r="AK73" s="27"/>
      <c r="AL73" s="28"/>
      <c r="AM73" s="28"/>
      <c r="AN73" s="29"/>
      <c r="AO73" s="4" t="str">
        <f aca="false">IFERROR(INDEX(Playbook!$C$4:$C$17,MATCH($AF73,Playbook!$A$4:$A$17,0)),"")</f>
        <v>Read the row: tier, segment, trigger, reason we lose them. Check contact coverage; if 0, enrich before anything else.</v>
      </c>
      <c r="AP73" s="23" t="str">
        <f aca="false">IFERROR(INDEX(Playbook!$D$4:$D$17,MATCH($AF73,Playbook!$A$4:$A$17,0)),"")</f>
        <v>—</v>
      </c>
      <c r="AQ73" s="4" t="str">
        <f aca="false">IFERROR(INDEX(Playbook!$E$4:$E$17,MATCH($AF73,Playbook!$A$4:$A$17,0)),"")</f>
        <v>Row read and a contact channel exists</v>
      </c>
      <c r="AR73" s="30" t="n">
        <f aca="false">IFERROR(INDEX(Playbook!$G$4:$G$17,MATCH($AF73,Playbook!$A$4:$A$17,0)),0)</f>
        <v>0</v>
      </c>
      <c r="AS73" s="31" t="n">
        <f aca="false">IFERROR(INDEX('Pricing &amp; Pilot'!$D$4:$D$6,MATCH($D73,'Pricing &amp; Pilot'!$A$4:$A$6,0)),0)</f>
        <v>0</v>
      </c>
      <c r="AT73" s="31" t="n">
        <f aca="false">AS73*AR73</f>
        <v>0</v>
      </c>
      <c r="AU73" s="23" t="str">
        <f aca="true">IF(AL73="","",TODAY()-AL73)</f>
        <v/>
      </c>
      <c r="AV73" s="23" t="str">
        <f aca="true">IF(AM73="","",IF(AND(AM73&lt;TODAY(),$AF73&lt;&gt;"Customer",$AF73&lt;&gt;"Lost",$AF73&lt;&gt;"Not a fit"),"OVERDUE",""))</f>
        <v/>
      </c>
      <c r="AW73" s="23" t="str">
        <f aca="false">IF(AV73="OVERDUE","RED",IF($AF73="Not started","—",IF($AF73="Customer","GREEN",IF(OR($AF73="Lost",$AF73="Not a fit"),"CLOSED","AMBER"))))</f>
        <v>—</v>
      </c>
    </row>
    <row r="74" customFormat="false" ht="48" hidden="false" customHeight="true" outlineLevel="0" collapsed="false">
      <c r="A74" s="23" t="n">
        <v>73</v>
      </c>
      <c r="B74" s="34" t="s">
        <v>454</v>
      </c>
      <c r="C74" s="23" t="str">
        <f aca="false">IF(OR(B74="A",B74="B"),"Yes","No")</f>
        <v>No</v>
      </c>
      <c r="D74" s="23"/>
      <c r="E74" s="23" t="s">
        <v>536</v>
      </c>
      <c r="F74" s="23" t="s">
        <v>537</v>
      </c>
      <c r="G74" s="23"/>
      <c r="H74" s="23"/>
      <c r="I74" s="4"/>
      <c r="J74" s="23" t="s">
        <v>133</v>
      </c>
      <c r="K74" s="23" t="s">
        <v>134</v>
      </c>
      <c r="L74" s="23" t="s">
        <v>134</v>
      </c>
      <c r="M74" s="25" t="n">
        <v>55.6</v>
      </c>
      <c r="N74" s="23" t="s">
        <v>422</v>
      </c>
      <c r="O74" s="23" t="s">
        <v>136</v>
      </c>
      <c r="P74" s="4" t="s">
        <v>462</v>
      </c>
      <c r="Q74" s="4" t="s">
        <v>155</v>
      </c>
      <c r="R74" s="4" t="s">
        <v>463</v>
      </c>
      <c r="S74" s="4"/>
      <c r="T74" s="4"/>
      <c r="U74" s="4"/>
      <c r="V74" s="23"/>
      <c r="W74" s="23"/>
      <c r="X74" s="23" t="s">
        <v>538</v>
      </c>
      <c r="Y74" s="23"/>
      <c r="Z74" s="23"/>
      <c r="AA74" s="23"/>
      <c r="AB74" s="23"/>
      <c r="AC74" s="4" t="s">
        <v>539</v>
      </c>
      <c r="AD74" s="26" t="n">
        <f aca="false">COUNTA(V74:AA74)</f>
        <v>1</v>
      </c>
      <c r="AE74" s="27"/>
      <c r="AF74" s="27" t="s">
        <v>34</v>
      </c>
      <c r="AG74" s="28"/>
      <c r="AH74" s="27"/>
      <c r="AI74" s="27"/>
      <c r="AJ74" s="27"/>
      <c r="AK74" s="27"/>
      <c r="AL74" s="28"/>
      <c r="AM74" s="28"/>
      <c r="AN74" s="29"/>
      <c r="AO74" s="4" t="str">
        <f aca="false">IFERROR(INDEX(Playbook!$C$4:$C$17,MATCH($AF74,Playbook!$A$4:$A$17,0)),"")</f>
        <v>Read the row: tier, segment, trigger, reason we lose them. Check contact coverage; if 0, enrich before anything else.</v>
      </c>
      <c r="AP74" s="23" t="str">
        <f aca="false">IFERROR(INDEX(Playbook!$D$4:$D$17,MATCH($AF74,Playbook!$A$4:$A$17,0)),"")</f>
        <v>—</v>
      </c>
      <c r="AQ74" s="4" t="str">
        <f aca="false">IFERROR(INDEX(Playbook!$E$4:$E$17,MATCH($AF74,Playbook!$A$4:$A$17,0)),"")</f>
        <v>Row read and a contact channel exists</v>
      </c>
      <c r="AR74" s="30" t="n">
        <f aca="false">IFERROR(INDEX(Playbook!$G$4:$G$17,MATCH($AF74,Playbook!$A$4:$A$17,0)),0)</f>
        <v>0</v>
      </c>
      <c r="AS74" s="31" t="n">
        <f aca="false">IFERROR(INDEX('Pricing &amp; Pilot'!$D$4:$D$6,MATCH($D74,'Pricing &amp; Pilot'!$A$4:$A$6,0)),0)</f>
        <v>0</v>
      </c>
      <c r="AT74" s="31" t="n">
        <f aca="false">AS74*AR74</f>
        <v>0</v>
      </c>
      <c r="AU74" s="23" t="str">
        <f aca="true">IF(AL74="","",TODAY()-AL74)</f>
        <v/>
      </c>
      <c r="AV74" s="23" t="str">
        <f aca="true">IF(AM74="","",IF(AND(AM74&lt;TODAY(),$AF74&lt;&gt;"Customer",$AF74&lt;&gt;"Lost",$AF74&lt;&gt;"Not a fit"),"OVERDUE",""))</f>
        <v/>
      </c>
      <c r="AW74" s="23" t="str">
        <f aca="false">IF(AV74="OVERDUE","RED",IF($AF74="Not started","—",IF($AF74="Customer","GREEN",IF(OR($AF74="Lost",$AF74="Not a fit"),"CLOSED","AMBER"))))</f>
        <v>—</v>
      </c>
    </row>
    <row r="75" customFormat="false" ht="48" hidden="false" customHeight="true" outlineLevel="0" collapsed="false">
      <c r="A75" s="23" t="n">
        <v>74</v>
      </c>
      <c r="B75" s="34" t="s">
        <v>454</v>
      </c>
      <c r="C75" s="23" t="str">
        <f aca="false">IF(OR(B75="A",B75="B"),"Yes","No")</f>
        <v>No</v>
      </c>
      <c r="D75" s="23"/>
      <c r="E75" s="23" t="s">
        <v>540</v>
      </c>
      <c r="F75" s="23" t="s">
        <v>541</v>
      </c>
      <c r="G75" s="23"/>
      <c r="H75" s="23"/>
      <c r="I75" s="4"/>
      <c r="J75" s="23" t="s">
        <v>133</v>
      </c>
      <c r="K75" s="23" t="s">
        <v>134</v>
      </c>
      <c r="L75" s="23" t="s">
        <v>134</v>
      </c>
      <c r="M75" s="25" t="n">
        <v>55.6</v>
      </c>
      <c r="N75" s="23" t="s">
        <v>422</v>
      </c>
      <c r="O75" s="23" t="s">
        <v>136</v>
      </c>
      <c r="P75" s="4" t="s">
        <v>462</v>
      </c>
      <c r="Q75" s="4" t="s">
        <v>155</v>
      </c>
      <c r="R75" s="4" t="s">
        <v>463</v>
      </c>
      <c r="S75" s="4"/>
      <c r="T75" s="4"/>
      <c r="U75" s="4"/>
      <c r="V75" s="23"/>
      <c r="W75" s="23"/>
      <c r="X75" s="23"/>
      <c r="Y75" s="23"/>
      <c r="Z75" s="23"/>
      <c r="AA75" s="23"/>
      <c r="AB75" s="23"/>
      <c r="AC75" s="4" t="s">
        <v>542</v>
      </c>
      <c r="AD75" s="26" t="n">
        <f aca="false">COUNTA(V75:AA75)</f>
        <v>0</v>
      </c>
      <c r="AE75" s="27"/>
      <c r="AF75" s="27" t="s">
        <v>34</v>
      </c>
      <c r="AG75" s="28"/>
      <c r="AH75" s="27"/>
      <c r="AI75" s="27"/>
      <c r="AJ75" s="27"/>
      <c r="AK75" s="27"/>
      <c r="AL75" s="28"/>
      <c r="AM75" s="28"/>
      <c r="AN75" s="29"/>
      <c r="AO75" s="4" t="str">
        <f aca="false">IFERROR(INDEX(Playbook!$C$4:$C$17,MATCH($AF75,Playbook!$A$4:$A$17,0)),"")</f>
        <v>Read the row: tier, segment, trigger, reason we lose them. Check contact coverage; if 0, enrich before anything else.</v>
      </c>
      <c r="AP75" s="23" t="str">
        <f aca="false">IFERROR(INDEX(Playbook!$D$4:$D$17,MATCH($AF75,Playbook!$A$4:$A$17,0)),"")</f>
        <v>—</v>
      </c>
      <c r="AQ75" s="4" t="str">
        <f aca="false">IFERROR(INDEX(Playbook!$E$4:$E$17,MATCH($AF75,Playbook!$A$4:$A$17,0)),"")</f>
        <v>Row read and a contact channel exists</v>
      </c>
      <c r="AR75" s="30" t="n">
        <f aca="false">IFERROR(INDEX(Playbook!$G$4:$G$17,MATCH($AF75,Playbook!$A$4:$A$17,0)),0)</f>
        <v>0</v>
      </c>
      <c r="AS75" s="31" t="n">
        <f aca="false">IFERROR(INDEX('Pricing &amp; Pilot'!$D$4:$D$6,MATCH($D75,'Pricing &amp; Pilot'!$A$4:$A$6,0)),0)</f>
        <v>0</v>
      </c>
      <c r="AT75" s="31" t="n">
        <f aca="false">AS75*AR75</f>
        <v>0</v>
      </c>
      <c r="AU75" s="23" t="str">
        <f aca="true">IF(AL75="","",TODAY()-AL75)</f>
        <v/>
      </c>
      <c r="AV75" s="23" t="str">
        <f aca="true">IF(AM75="","",IF(AND(AM75&lt;TODAY(),$AF75&lt;&gt;"Customer",$AF75&lt;&gt;"Lost",$AF75&lt;&gt;"Not a fit"),"OVERDUE",""))</f>
        <v/>
      </c>
      <c r="AW75" s="23" t="str">
        <f aca="false">IF(AV75="OVERDUE","RED",IF($AF75="Not started","—",IF($AF75="Customer","GREEN",IF(OR($AF75="Lost",$AF75="Not a fit"),"CLOSED","AMBER"))))</f>
        <v>—</v>
      </c>
    </row>
    <row r="76" customFormat="false" ht="48" hidden="false" customHeight="true" outlineLevel="0" collapsed="false">
      <c r="A76" s="23" t="n">
        <v>75</v>
      </c>
      <c r="B76" s="34" t="s">
        <v>454</v>
      </c>
      <c r="C76" s="23" t="str">
        <f aca="false">IF(OR(B76="A",B76="B"),"Yes","No")</f>
        <v>No</v>
      </c>
      <c r="D76" s="23"/>
      <c r="E76" s="23" t="s">
        <v>543</v>
      </c>
      <c r="F76" s="23" t="s">
        <v>544</v>
      </c>
      <c r="G76" s="23" t="s">
        <v>545</v>
      </c>
      <c r="H76" s="23"/>
      <c r="I76" s="4"/>
      <c r="J76" s="23" t="s">
        <v>133</v>
      </c>
      <c r="K76" s="23" t="s">
        <v>153</v>
      </c>
      <c r="L76" s="23" t="s">
        <v>134</v>
      </c>
      <c r="M76" s="25" t="n">
        <v>55.6</v>
      </c>
      <c r="N76" s="23" t="s">
        <v>422</v>
      </c>
      <c r="O76" s="23" t="s">
        <v>136</v>
      </c>
      <c r="P76" s="4" t="s">
        <v>462</v>
      </c>
      <c r="Q76" s="4" t="s">
        <v>155</v>
      </c>
      <c r="R76" s="4" t="s">
        <v>463</v>
      </c>
      <c r="S76" s="4"/>
      <c r="T76" s="4"/>
      <c r="U76" s="4"/>
      <c r="V76" s="23"/>
      <c r="W76" s="23"/>
      <c r="X76" s="23"/>
      <c r="Y76" s="23"/>
      <c r="Z76" s="23"/>
      <c r="AA76" s="23"/>
      <c r="AB76" s="23"/>
      <c r="AC76" s="4" t="s">
        <v>546</v>
      </c>
      <c r="AD76" s="26" t="n">
        <f aca="false">COUNTA(V76:AA76)</f>
        <v>0</v>
      </c>
      <c r="AE76" s="27"/>
      <c r="AF76" s="27" t="s">
        <v>34</v>
      </c>
      <c r="AG76" s="28"/>
      <c r="AH76" s="27"/>
      <c r="AI76" s="27"/>
      <c r="AJ76" s="27"/>
      <c r="AK76" s="27"/>
      <c r="AL76" s="28"/>
      <c r="AM76" s="28"/>
      <c r="AN76" s="29"/>
      <c r="AO76" s="4" t="str">
        <f aca="false">IFERROR(INDEX(Playbook!$C$4:$C$17,MATCH($AF76,Playbook!$A$4:$A$17,0)),"")</f>
        <v>Read the row: tier, segment, trigger, reason we lose them. Check contact coverage; if 0, enrich before anything else.</v>
      </c>
      <c r="AP76" s="23" t="str">
        <f aca="false">IFERROR(INDEX(Playbook!$D$4:$D$17,MATCH($AF76,Playbook!$A$4:$A$17,0)),"")</f>
        <v>—</v>
      </c>
      <c r="AQ76" s="4" t="str">
        <f aca="false">IFERROR(INDEX(Playbook!$E$4:$E$17,MATCH($AF76,Playbook!$A$4:$A$17,0)),"")</f>
        <v>Row read and a contact channel exists</v>
      </c>
      <c r="AR76" s="30" t="n">
        <f aca="false">IFERROR(INDEX(Playbook!$G$4:$G$17,MATCH($AF76,Playbook!$A$4:$A$17,0)),0)</f>
        <v>0</v>
      </c>
      <c r="AS76" s="31" t="n">
        <f aca="false">IFERROR(INDEX('Pricing &amp; Pilot'!$D$4:$D$6,MATCH($D76,'Pricing &amp; Pilot'!$A$4:$A$6,0)),0)</f>
        <v>0</v>
      </c>
      <c r="AT76" s="31" t="n">
        <f aca="false">AS76*AR76</f>
        <v>0</v>
      </c>
      <c r="AU76" s="23" t="str">
        <f aca="true">IF(AL76="","",TODAY()-AL76)</f>
        <v/>
      </c>
      <c r="AV76" s="23" t="str">
        <f aca="true">IF(AM76="","",IF(AND(AM76&lt;TODAY(),$AF76&lt;&gt;"Customer",$AF76&lt;&gt;"Lost",$AF76&lt;&gt;"Not a fit"),"OVERDUE",""))</f>
        <v/>
      </c>
      <c r="AW76" s="23" t="str">
        <f aca="false">IF(AV76="OVERDUE","RED",IF($AF76="Not started","—",IF($AF76="Customer","GREEN",IF(OR($AF76="Lost",$AF76="Not a fit"),"CLOSED","AMBER"))))</f>
        <v>—</v>
      </c>
    </row>
    <row r="77" customFormat="false" ht="48" hidden="false" customHeight="true" outlineLevel="0" collapsed="false">
      <c r="A77" s="23" t="n">
        <v>76</v>
      </c>
      <c r="B77" s="34" t="s">
        <v>454</v>
      </c>
      <c r="C77" s="23" t="str">
        <f aca="false">IF(OR(B77="A",B77="B"),"Yes","No")</f>
        <v>No</v>
      </c>
      <c r="D77" s="23"/>
      <c r="E77" s="23" t="s">
        <v>547</v>
      </c>
      <c r="F77" s="23" t="s">
        <v>548</v>
      </c>
      <c r="G77" s="23" t="s">
        <v>549</v>
      </c>
      <c r="H77" s="23"/>
      <c r="I77" s="4"/>
      <c r="J77" s="23" t="s">
        <v>133</v>
      </c>
      <c r="K77" s="23" t="s">
        <v>467</v>
      </c>
      <c r="L77" s="23" t="s">
        <v>134</v>
      </c>
      <c r="M77" s="25" t="n">
        <v>55.6</v>
      </c>
      <c r="N77" s="23" t="s">
        <v>422</v>
      </c>
      <c r="O77" s="23" t="s">
        <v>136</v>
      </c>
      <c r="P77" s="4" t="s">
        <v>462</v>
      </c>
      <c r="Q77" s="4" t="s">
        <v>155</v>
      </c>
      <c r="R77" s="4" t="s">
        <v>463</v>
      </c>
      <c r="S77" s="4"/>
      <c r="T77" s="4"/>
      <c r="U77" s="4"/>
      <c r="V77" s="23" t="s">
        <v>550</v>
      </c>
      <c r="W77" s="23"/>
      <c r="X77" s="23" t="s">
        <v>551</v>
      </c>
      <c r="Y77" s="23"/>
      <c r="Z77" s="23"/>
      <c r="AA77" s="23"/>
      <c r="AB77" s="23"/>
      <c r="AC77" s="4" t="s">
        <v>552</v>
      </c>
      <c r="AD77" s="26" t="n">
        <f aca="false">COUNTA(V77:AA77)</f>
        <v>2</v>
      </c>
      <c r="AE77" s="27"/>
      <c r="AF77" s="27" t="s">
        <v>34</v>
      </c>
      <c r="AG77" s="28"/>
      <c r="AH77" s="27"/>
      <c r="AI77" s="27"/>
      <c r="AJ77" s="27"/>
      <c r="AK77" s="27"/>
      <c r="AL77" s="28"/>
      <c r="AM77" s="28"/>
      <c r="AN77" s="29"/>
      <c r="AO77" s="4" t="str">
        <f aca="false">IFERROR(INDEX(Playbook!$C$4:$C$17,MATCH($AF77,Playbook!$A$4:$A$17,0)),"")</f>
        <v>Read the row: tier, segment, trigger, reason we lose them. Check contact coverage; if 0, enrich before anything else.</v>
      </c>
      <c r="AP77" s="23" t="str">
        <f aca="false">IFERROR(INDEX(Playbook!$D$4:$D$17,MATCH($AF77,Playbook!$A$4:$A$17,0)),"")</f>
        <v>—</v>
      </c>
      <c r="AQ77" s="4" t="str">
        <f aca="false">IFERROR(INDEX(Playbook!$E$4:$E$17,MATCH($AF77,Playbook!$A$4:$A$17,0)),"")</f>
        <v>Row read and a contact channel exists</v>
      </c>
      <c r="AR77" s="30" t="n">
        <f aca="false">IFERROR(INDEX(Playbook!$G$4:$G$17,MATCH($AF77,Playbook!$A$4:$A$17,0)),0)</f>
        <v>0</v>
      </c>
      <c r="AS77" s="31" t="n">
        <f aca="false">IFERROR(INDEX('Pricing &amp; Pilot'!$D$4:$D$6,MATCH($D77,'Pricing &amp; Pilot'!$A$4:$A$6,0)),0)</f>
        <v>0</v>
      </c>
      <c r="AT77" s="31" t="n">
        <f aca="false">AS77*AR77</f>
        <v>0</v>
      </c>
      <c r="AU77" s="23" t="str">
        <f aca="true">IF(AL77="","",TODAY()-AL77)</f>
        <v/>
      </c>
      <c r="AV77" s="23" t="str">
        <f aca="true">IF(AM77="","",IF(AND(AM77&lt;TODAY(),$AF77&lt;&gt;"Customer",$AF77&lt;&gt;"Lost",$AF77&lt;&gt;"Not a fit"),"OVERDUE",""))</f>
        <v/>
      </c>
      <c r="AW77" s="23" t="str">
        <f aca="false">IF(AV77="OVERDUE","RED",IF($AF77="Not started","—",IF($AF77="Customer","GREEN",IF(OR($AF77="Lost",$AF77="Not a fit"),"CLOSED","AMBER"))))</f>
        <v>—</v>
      </c>
    </row>
    <row r="78" customFormat="false" ht="48" hidden="false" customHeight="true" outlineLevel="0" collapsed="false">
      <c r="A78" s="23" t="n">
        <v>77</v>
      </c>
      <c r="B78" s="34" t="s">
        <v>454</v>
      </c>
      <c r="C78" s="23" t="str">
        <f aca="false">IF(OR(B78="A",B78="B"),"Yes","No")</f>
        <v>No</v>
      </c>
      <c r="D78" s="23"/>
      <c r="E78" s="23" t="s">
        <v>553</v>
      </c>
      <c r="F78" s="23" t="s">
        <v>554</v>
      </c>
      <c r="G78" s="23"/>
      <c r="H78" s="23"/>
      <c r="I78" s="4"/>
      <c r="J78" s="23" t="s">
        <v>133</v>
      </c>
      <c r="K78" s="23" t="s">
        <v>188</v>
      </c>
      <c r="L78" s="23" t="s">
        <v>134</v>
      </c>
      <c r="M78" s="25" t="n">
        <v>55.6</v>
      </c>
      <c r="N78" s="23" t="s">
        <v>422</v>
      </c>
      <c r="O78" s="23" t="s">
        <v>136</v>
      </c>
      <c r="P78" s="4" t="s">
        <v>462</v>
      </c>
      <c r="Q78" s="4" t="s">
        <v>155</v>
      </c>
      <c r="R78" s="4" t="s">
        <v>463</v>
      </c>
      <c r="S78" s="4"/>
      <c r="T78" s="4"/>
      <c r="U78" s="4"/>
      <c r="V78" s="23"/>
      <c r="W78" s="23"/>
      <c r="X78" s="23"/>
      <c r="Y78" s="23"/>
      <c r="Z78" s="23"/>
      <c r="AA78" s="23"/>
      <c r="AB78" s="23"/>
      <c r="AC78" s="4" t="s">
        <v>555</v>
      </c>
      <c r="AD78" s="26" t="n">
        <f aca="false">COUNTA(V78:AA78)</f>
        <v>0</v>
      </c>
      <c r="AE78" s="27"/>
      <c r="AF78" s="27" t="s">
        <v>34</v>
      </c>
      <c r="AG78" s="28"/>
      <c r="AH78" s="27"/>
      <c r="AI78" s="27"/>
      <c r="AJ78" s="27"/>
      <c r="AK78" s="27"/>
      <c r="AL78" s="28"/>
      <c r="AM78" s="28"/>
      <c r="AN78" s="29"/>
      <c r="AO78" s="4" t="str">
        <f aca="false">IFERROR(INDEX(Playbook!$C$4:$C$17,MATCH($AF78,Playbook!$A$4:$A$17,0)),"")</f>
        <v>Read the row: tier, segment, trigger, reason we lose them. Check contact coverage; if 0, enrich before anything else.</v>
      </c>
      <c r="AP78" s="23" t="str">
        <f aca="false">IFERROR(INDEX(Playbook!$D$4:$D$17,MATCH($AF78,Playbook!$A$4:$A$17,0)),"")</f>
        <v>—</v>
      </c>
      <c r="AQ78" s="4" t="str">
        <f aca="false">IFERROR(INDEX(Playbook!$E$4:$E$17,MATCH($AF78,Playbook!$A$4:$A$17,0)),"")</f>
        <v>Row read and a contact channel exists</v>
      </c>
      <c r="AR78" s="30" t="n">
        <f aca="false">IFERROR(INDEX(Playbook!$G$4:$G$17,MATCH($AF78,Playbook!$A$4:$A$17,0)),0)</f>
        <v>0</v>
      </c>
      <c r="AS78" s="31" t="n">
        <f aca="false">IFERROR(INDEX('Pricing &amp; Pilot'!$D$4:$D$6,MATCH($D78,'Pricing &amp; Pilot'!$A$4:$A$6,0)),0)</f>
        <v>0</v>
      </c>
      <c r="AT78" s="31" t="n">
        <f aca="false">AS78*AR78</f>
        <v>0</v>
      </c>
      <c r="AU78" s="23" t="str">
        <f aca="true">IF(AL78="","",TODAY()-AL78)</f>
        <v/>
      </c>
      <c r="AV78" s="23" t="str">
        <f aca="true">IF(AM78="","",IF(AND(AM78&lt;TODAY(),$AF78&lt;&gt;"Customer",$AF78&lt;&gt;"Lost",$AF78&lt;&gt;"Not a fit"),"OVERDUE",""))</f>
        <v/>
      </c>
      <c r="AW78" s="23" t="str">
        <f aca="false">IF(AV78="OVERDUE","RED",IF($AF78="Not started","—",IF($AF78="Customer","GREEN",IF(OR($AF78="Lost",$AF78="Not a fit"),"CLOSED","AMBER"))))</f>
        <v>—</v>
      </c>
    </row>
    <row r="79" customFormat="false" ht="48" hidden="false" customHeight="true" outlineLevel="0" collapsed="false">
      <c r="A79" s="23" t="n">
        <v>78</v>
      </c>
      <c r="B79" s="34" t="s">
        <v>454</v>
      </c>
      <c r="C79" s="23" t="str">
        <f aca="false">IF(OR(B79="A",B79="B"),"Yes","No")</f>
        <v>No</v>
      </c>
      <c r="D79" s="23"/>
      <c r="E79" s="23" t="s">
        <v>556</v>
      </c>
      <c r="F79" s="23" t="s">
        <v>557</v>
      </c>
      <c r="G79" s="23" t="s">
        <v>558</v>
      </c>
      <c r="H79" s="23"/>
      <c r="I79" s="4"/>
      <c r="J79" s="23" t="s">
        <v>133</v>
      </c>
      <c r="K79" s="23" t="s">
        <v>292</v>
      </c>
      <c r="L79" s="23" t="s">
        <v>134</v>
      </c>
      <c r="M79" s="25" t="n">
        <v>55.6</v>
      </c>
      <c r="N79" s="23" t="s">
        <v>422</v>
      </c>
      <c r="O79" s="23" t="s">
        <v>136</v>
      </c>
      <c r="P79" s="4" t="s">
        <v>462</v>
      </c>
      <c r="Q79" s="4" t="s">
        <v>155</v>
      </c>
      <c r="R79" s="4" t="s">
        <v>463</v>
      </c>
      <c r="S79" s="4"/>
      <c r="T79" s="4"/>
      <c r="U79" s="4"/>
      <c r="V79" s="23"/>
      <c r="W79" s="23"/>
      <c r="X79" s="23"/>
      <c r="Y79" s="23"/>
      <c r="Z79" s="23"/>
      <c r="AA79" s="23"/>
      <c r="AB79" s="23"/>
      <c r="AC79" s="4" t="s">
        <v>559</v>
      </c>
      <c r="AD79" s="26" t="n">
        <f aca="false">COUNTA(V79:AA79)</f>
        <v>0</v>
      </c>
      <c r="AE79" s="27"/>
      <c r="AF79" s="27" t="s">
        <v>34</v>
      </c>
      <c r="AG79" s="28"/>
      <c r="AH79" s="27"/>
      <c r="AI79" s="27"/>
      <c r="AJ79" s="27"/>
      <c r="AK79" s="27"/>
      <c r="AL79" s="28"/>
      <c r="AM79" s="28"/>
      <c r="AN79" s="29"/>
      <c r="AO79" s="4" t="str">
        <f aca="false">IFERROR(INDEX(Playbook!$C$4:$C$17,MATCH($AF79,Playbook!$A$4:$A$17,0)),"")</f>
        <v>Read the row: tier, segment, trigger, reason we lose them. Check contact coverage; if 0, enrich before anything else.</v>
      </c>
      <c r="AP79" s="23" t="str">
        <f aca="false">IFERROR(INDEX(Playbook!$D$4:$D$17,MATCH($AF79,Playbook!$A$4:$A$17,0)),"")</f>
        <v>—</v>
      </c>
      <c r="AQ79" s="4" t="str">
        <f aca="false">IFERROR(INDEX(Playbook!$E$4:$E$17,MATCH($AF79,Playbook!$A$4:$A$17,0)),"")</f>
        <v>Row read and a contact channel exists</v>
      </c>
      <c r="AR79" s="30" t="n">
        <f aca="false">IFERROR(INDEX(Playbook!$G$4:$G$17,MATCH($AF79,Playbook!$A$4:$A$17,0)),0)</f>
        <v>0</v>
      </c>
      <c r="AS79" s="31" t="n">
        <f aca="false">IFERROR(INDEX('Pricing &amp; Pilot'!$D$4:$D$6,MATCH($D79,'Pricing &amp; Pilot'!$A$4:$A$6,0)),0)</f>
        <v>0</v>
      </c>
      <c r="AT79" s="31" t="n">
        <f aca="false">AS79*AR79</f>
        <v>0</v>
      </c>
      <c r="AU79" s="23" t="str">
        <f aca="true">IF(AL79="","",TODAY()-AL79)</f>
        <v/>
      </c>
      <c r="AV79" s="23" t="str">
        <f aca="true">IF(AM79="","",IF(AND(AM79&lt;TODAY(),$AF79&lt;&gt;"Customer",$AF79&lt;&gt;"Lost",$AF79&lt;&gt;"Not a fit"),"OVERDUE",""))</f>
        <v/>
      </c>
      <c r="AW79" s="23" t="str">
        <f aca="false">IF(AV79="OVERDUE","RED",IF($AF79="Not started","—",IF($AF79="Customer","GREEN",IF(OR($AF79="Lost",$AF79="Not a fit"),"CLOSED","AMBER"))))</f>
        <v>—</v>
      </c>
    </row>
    <row r="80" customFormat="false" ht="48" hidden="false" customHeight="true" outlineLevel="0" collapsed="false">
      <c r="A80" s="23" t="n">
        <v>79</v>
      </c>
      <c r="B80" s="34" t="s">
        <v>454</v>
      </c>
      <c r="C80" s="23" t="str">
        <f aca="false">IF(OR(B80="A",B80="B"),"Yes","No")</f>
        <v>No</v>
      </c>
      <c r="D80" s="23"/>
      <c r="E80" s="23" t="s">
        <v>560</v>
      </c>
      <c r="F80" s="23" t="s">
        <v>561</v>
      </c>
      <c r="G80" s="23"/>
      <c r="H80" s="23"/>
      <c r="I80" s="4"/>
      <c r="J80" s="23" t="s">
        <v>133</v>
      </c>
      <c r="K80" s="23" t="s">
        <v>188</v>
      </c>
      <c r="L80" s="23" t="s">
        <v>134</v>
      </c>
      <c r="M80" s="25" t="n">
        <v>55.6</v>
      </c>
      <c r="N80" s="23" t="s">
        <v>422</v>
      </c>
      <c r="O80" s="23" t="s">
        <v>136</v>
      </c>
      <c r="P80" s="4" t="s">
        <v>462</v>
      </c>
      <c r="Q80" s="4" t="s">
        <v>155</v>
      </c>
      <c r="R80" s="4" t="s">
        <v>463</v>
      </c>
      <c r="S80" s="4"/>
      <c r="T80" s="4"/>
      <c r="U80" s="4"/>
      <c r="V80" s="23"/>
      <c r="W80" s="23"/>
      <c r="X80" s="23"/>
      <c r="Y80" s="23"/>
      <c r="Z80" s="23"/>
      <c r="AA80" s="23"/>
      <c r="AB80" s="23"/>
      <c r="AC80" s="4" t="s">
        <v>562</v>
      </c>
      <c r="AD80" s="26" t="n">
        <f aca="false">COUNTA(V80:AA80)</f>
        <v>0</v>
      </c>
      <c r="AE80" s="27"/>
      <c r="AF80" s="27" t="s">
        <v>34</v>
      </c>
      <c r="AG80" s="28"/>
      <c r="AH80" s="27"/>
      <c r="AI80" s="27"/>
      <c r="AJ80" s="27"/>
      <c r="AK80" s="27"/>
      <c r="AL80" s="28"/>
      <c r="AM80" s="28"/>
      <c r="AN80" s="29"/>
      <c r="AO80" s="4" t="str">
        <f aca="false">IFERROR(INDEX(Playbook!$C$4:$C$17,MATCH($AF80,Playbook!$A$4:$A$17,0)),"")</f>
        <v>Read the row: tier, segment, trigger, reason we lose them. Check contact coverage; if 0, enrich before anything else.</v>
      </c>
      <c r="AP80" s="23" t="str">
        <f aca="false">IFERROR(INDEX(Playbook!$D$4:$D$17,MATCH($AF80,Playbook!$A$4:$A$17,0)),"")</f>
        <v>—</v>
      </c>
      <c r="AQ80" s="4" t="str">
        <f aca="false">IFERROR(INDEX(Playbook!$E$4:$E$17,MATCH($AF80,Playbook!$A$4:$A$17,0)),"")</f>
        <v>Row read and a contact channel exists</v>
      </c>
      <c r="AR80" s="30" t="n">
        <f aca="false">IFERROR(INDEX(Playbook!$G$4:$G$17,MATCH($AF80,Playbook!$A$4:$A$17,0)),0)</f>
        <v>0</v>
      </c>
      <c r="AS80" s="31" t="n">
        <f aca="false">IFERROR(INDEX('Pricing &amp; Pilot'!$D$4:$D$6,MATCH($D80,'Pricing &amp; Pilot'!$A$4:$A$6,0)),0)</f>
        <v>0</v>
      </c>
      <c r="AT80" s="31" t="n">
        <f aca="false">AS80*AR80</f>
        <v>0</v>
      </c>
      <c r="AU80" s="23" t="str">
        <f aca="true">IF(AL80="","",TODAY()-AL80)</f>
        <v/>
      </c>
      <c r="AV80" s="23" t="str">
        <f aca="true">IF(AM80="","",IF(AND(AM80&lt;TODAY(),$AF80&lt;&gt;"Customer",$AF80&lt;&gt;"Lost",$AF80&lt;&gt;"Not a fit"),"OVERDUE",""))</f>
        <v/>
      </c>
      <c r="AW80" s="23" t="str">
        <f aca="false">IF(AV80="OVERDUE","RED",IF($AF80="Not started","—",IF($AF80="Customer","GREEN",IF(OR($AF80="Lost",$AF80="Not a fit"),"CLOSED","AMBER"))))</f>
        <v>—</v>
      </c>
    </row>
    <row r="81" customFormat="false" ht="48" hidden="false" customHeight="true" outlineLevel="0" collapsed="false">
      <c r="A81" s="23" t="n">
        <v>80</v>
      </c>
      <c r="B81" s="34" t="s">
        <v>454</v>
      </c>
      <c r="C81" s="23" t="str">
        <f aca="false">IF(OR(B81="A",B81="B"),"Yes","No")</f>
        <v>No</v>
      </c>
      <c r="D81" s="23"/>
      <c r="E81" s="23" t="s">
        <v>563</v>
      </c>
      <c r="F81" s="23" t="s">
        <v>564</v>
      </c>
      <c r="G81" s="23" t="s">
        <v>565</v>
      </c>
      <c r="H81" s="23"/>
      <c r="I81" s="4"/>
      <c r="J81" s="23" t="s">
        <v>133</v>
      </c>
      <c r="K81" s="23" t="s">
        <v>134</v>
      </c>
      <c r="L81" s="23" t="s">
        <v>134</v>
      </c>
      <c r="M81" s="25" t="n">
        <v>55.6</v>
      </c>
      <c r="N81" s="23" t="s">
        <v>422</v>
      </c>
      <c r="O81" s="23" t="s">
        <v>136</v>
      </c>
      <c r="P81" s="4" t="s">
        <v>462</v>
      </c>
      <c r="Q81" s="4" t="s">
        <v>155</v>
      </c>
      <c r="R81" s="4" t="s">
        <v>463</v>
      </c>
      <c r="S81" s="4"/>
      <c r="T81" s="4"/>
      <c r="U81" s="4"/>
      <c r="V81" s="23"/>
      <c r="W81" s="23"/>
      <c r="X81" s="23"/>
      <c r="Y81" s="23"/>
      <c r="Z81" s="23"/>
      <c r="AA81" s="23"/>
      <c r="AB81" s="23"/>
      <c r="AC81" s="4" t="s">
        <v>566</v>
      </c>
      <c r="AD81" s="26" t="n">
        <f aca="false">COUNTA(V81:AA81)</f>
        <v>0</v>
      </c>
      <c r="AE81" s="27"/>
      <c r="AF81" s="27" t="s">
        <v>34</v>
      </c>
      <c r="AG81" s="28"/>
      <c r="AH81" s="27"/>
      <c r="AI81" s="27"/>
      <c r="AJ81" s="27"/>
      <c r="AK81" s="27"/>
      <c r="AL81" s="28"/>
      <c r="AM81" s="28"/>
      <c r="AN81" s="29"/>
      <c r="AO81" s="4" t="str">
        <f aca="false">IFERROR(INDEX(Playbook!$C$4:$C$17,MATCH($AF81,Playbook!$A$4:$A$17,0)),"")</f>
        <v>Read the row: tier, segment, trigger, reason we lose them. Check contact coverage; if 0, enrich before anything else.</v>
      </c>
      <c r="AP81" s="23" t="str">
        <f aca="false">IFERROR(INDEX(Playbook!$D$4:$D$17,MATCH($AF81,Playbook!$A$4:$A$17,0)),"")</f>
        <v>—</v>
      </c>
      <c r="AQ81" s="4" t="str">
        <f aca="false">IFERROR(INDEX(Playbook!$E$4:$E$17,MATCH($AF81,Playbook!$A$4:$A$17,0)),"")</f>
        <v>Row read and a contact channel exists</v>
      </c>
      <c r="AR81" s="30" t="n">
        <f aca="false">IFERROR(INDEX(Playbook!$G$4:$G$17,MATCH($AF81,Playbook!$A$4:$A$17,0)),0)</f>
        <v>0</v>
      </c>
      <c r="AS81" s="31" t="n">
        <f aca="false">IFERROR(INDEX('Pricing &amp; Pilot'!$D$4:$D$6,MATCH($D81,'Pricing &amp; Pilot'!$A$4:$A$6,0)),0)</f>
        <v>0</v>
      </c>
      <c r="AT81" s="31" t="n">
        <f aca="false">AS81*AR81</f>
        <v>0</v>
      </c>
      <c r="AU81" s="23" t="str">
        <f aca="true">IF(AL81="","",TODAY()-AL81)</f>
        <v/>
      </c>
      <c r="AV81" s="23" t="str">
        <f aca="true">IF(AM81="","",IF(AND(AM81&lt;TODAY(),$AF81&lt;&gt;"Customer",$AF81&lt;&gt;"Lost",$AF81&lt;&gt;"Not a fit"),"OVERDUE",""))</f>
        <v/>
      </c>
      <c r="AW81" s="23" t="str">
        <f aca="false">IF(AV81="OVERDUE","RED",IF($AF81="Not started","—",IF($AF81="Customer","GREEN",IF(OR($AF81="Lost",$AF81="Not a fit"),"CLOSED","AMBER"))))</f>
        <v>—</v>
      </c>
    </row>
    <row r="82" customFormat="false" ht="48" hidden="false" customHeight="true" outlineLevel="0" collapsed="false">
      <c r="A82" s="23" t="n">
        <v>81</v>
      </c>
      <c r="B82" s="34" t="s">
        <v>454</v>
      </c>
      <c r="C82" s="23" t="str">
        <f aca="false">IF(OR(B82="A",B82="B"),"Yes","No")</f>
        <v>No</v>
      </c>
      <c r="D82" s="23"/>
      <c r="E82" s="23" t="s">
        <v>567</v>
      </c>
      <c r="F82" s="23" t="s">
        <v>568</v>
      </c>
      <c r="G82" s="23"/>
      <c r="H82" s="23"/>
      <c r="I82" s="4"/>
      <c r="J82" s="23" t="s">
        <v>133</v>
      </c>
      <c r="K82" s="23" t="s">
        <v>134</v>
      </c>
      <c r="L82" s="23" t="s">
        <v>134</v>
      </c>
      <c r="M82" s="25" t="n">
        <v>55.6</v>
      </c>
      <c r="N82" s="23" t="s">
        <v>422</v>
      </c>
      <c r="O82" s="23" t="s">
        <v>136</v>
      </c>
      <c r="P82" s="4" t="s">
        <v>462</v>
      </c>
      <c r="Q82" s="4" t="s">
        <v>569</v>
      </c>
      <c r="R82" s="4" t="s">
        <v>463</v>
      </c>
      <c r="S82" s="4"/>
      <c r="T82" s="4"/>
      <c r="U82" s="4"/>
      <c r="V82" s="23" t="s">
        <v>570</v>
      </c>
      <c r="W82" s="23"/>
      <c r="X82" s="23" t="s">
        <v>571</v>
      </c>
      <c r="Y82" s="23"/>
      <c r="Z82" s="23"/>
      <c r="AA82" s="23"/>
      <c r="AB82" s="23"/>
      <c r="AC82" s="4" t="s">
        <v>572</v>
      </c>
      <c r="AD82" s="26" t="n">
        <f aca="false">COUNTA(V82:AA82)</f>
        <v>2</v>
      </c>
      <c r="AE82" s="27"/>
      <c r="AF82" s="27" t="s">
        <v>34</v>
      </c>
      <c r="AG82" s="28"/>
      <c r="AH82" s="27"/>
      <c r="AI82" s="27"/>
      <c r="AJ82" s="27"/>
      <c r="AK82" s="27"/>
      <c r="AL82" s="28"/>
      <c r="AM82" s="28"/>
      <c r="AN82" s="29"/>
      <c r="AO82" s="4" t="str">
        <f aca="false">IFERROR(INDEX(Playbook!$C$4:$C$17,MATCH($AF82,Playbook!$A$4:$A$17,0)),"")</f>
        <v>Read the row: tier, segment, trigger, reason we lose them. Check contact coverage; if 0, enrich before anything else.</v>
      </c>
      <c r="AP82" s="23" t="str">
        <f aca="false">IFERROR(INDEX(Playbook!$D$4:$D$17,MATCH($AF82,Playbook!$A$4:$A$17,0)),"")</f>
        <v>—</v>
      </c>
      <c r="AQ82" s="4" t="str">
        <f aca="false">IFERROR(INDEX(Playbook!$E$4:$E$17,MATCH($AF82,Playbook!$A$4:$A$17,0)),"")</f>
        <v>Row read and a contact channel exists</v>
      </c>
      <c r="AR82" s="30" t="n">
        <f aca="false">IFERROR(INDEX(Playbook!$G$4:$G$17,MATCH($AF82,Playbook!$A$4:$A$17,0)),0)</f>
        <v>0</v>
      </c>
      <c r="AS82" s="31" t="n">
        <f aca="false">IFERROR(INDEX('Pricing &amp; Pilot'!$D$4:$D$6,MATCH($D82,'Pricing &amp; Pilot'!$A$4:$A$6,0)),0)</f>
        <v>0</v>
      </c>
      <c r="AT82" s="31" t="n">
        <f aca="false">AS82*AR82</f>
        <v>0</v>
      </c>
      <c r="AU82" s="23" t="str">
        <f aca="true">IF(AL82="","",TODAY()-AL82)</f>
        <v/>
      </c>
      <c r="AV82" s="23" t="str">
        <f aca="true">IF(AM82="","",IF(AND(AM82&lt;TODAY(),$AF82&lt;&gt;"Customer",$AF82&lt;&gt;"Lost",$AF82&lt;&gt;"Not a fit"),"OVERDUE",""))</f>
        <v/>
      </c>
      <c r="AW82" s="23" t="str">
        <f aca="false">IF(AV82="OVERDUE","RED",IF($AF82="Not started","—",IF($AF82="Customer","GREEN",IF(OR($AF82="Lost",$AF82="Not a fit"),"CLOSED","AMBER"))))</f>
        <v>—</v>
      </c>
    </row>
    <row r="83" customFormat="false" ht="48" hidden="false" customHeight="true" outlineLevel="0" collapsed="false">
      <c r="A83" s="23" t="n">
        <v>82</v>
      </c>
      <c r="B83" s="34" t="s">
        <v>454</v>
      </c>
      <c r="C83" s="23" t="str">
        <f aca="false">IF(OR(B83="A",B83="B"),"Yes","No")</f>
        <v>No</v>
      </c>
      <c r="D83" s="23"/>
      <c r="E83" s="23" t="s">
        <v>573</v>
      </c>
      <c r="F83" s="23" t="s">
        <v>574</v>
      </c>
      <c r="G83" s="23" t="s">
        <v>575</v>
      </c>
      <c r="H83" s="23"/>
      <c r="I83" s="4"/>
      <c r="J83" s="23" t="s">
        <v>133</v>
      </c>
      <c r="K83" s="23" t="s">
        <v>346</v>
      </c>
      <c r="L83" s="23" t="s">
        <v>134</v>
      </c>
      <c r="M83" s="25" t="n">
        <v>55.6</v>
      </c>
      <c r="N83" s="23" t="s">
        <v>422</v>
      </c>
      <c r="O83" s="23" t="s">
        <v>136</v>
      </c>
      <c r="P83" s="4" t="s">
        <v>462</v>
      </c>
      <c r="Q83" s="4" t="s">
        <v>155</v>
      </c>
      <c r="R83" s="4" t="s">
        <v>463</v>
      </c>
      <c r="S83" s="4"/>
      <c r="T83" s="4"/>
      <c r="U83" s="4"/>
      <c r="V83" s="23"/>
      <c r="W83" s="23"/>
      <c r="X83" s="23"/>
      <c r="Y83" s="23"/>
      <c r="Z83" s="23"/>
      <c r="AA83" s="23"/>
      <c r="AB83" s="23"/>
      <c r="AC83" s="4" t="s">
        <v>576</v>
      </c>
      <c r="AD83" s="26" t="n">
        <f aca="false">COUNTA(V83:AA83)</f>
        <v>0</v>
      </c>
      <c r="AE83" s="27"/>
      <c r="AF83" s="27" t="s">
        <v>34</v>
      </c>
      <c r="AG83" s="28"/>
      <c r="AH83" s="27"/>
      <c r="AI83" s="27"/>
      <c r="AJ83" s="27"/>
      <c r="AK83" s="27"/>
      <c r="AL83" s="28"/>
      <c r="AM83" s="28"/>
      <c r="AN83" s="29"/>
      <c r="AO83" s="4" t="str">
        <f aca="false">IFERROR(INDEX(Playbook!$C$4:$C$17,MATCH($AF83,Playbook!$A$4:$A$17,0)),"")</f>
        <v>Read the row: tier, segment, trigger, reason we lose them. Check contact coverage; if 0, enrich before anything else.</v>
      </c>
      <c r="AP83" s="23" t="str">
        <f aca="false">IFERROR(INDEX(Playbook!$D$4:$D$17,MATCH($AF83,Playbook!$A$4:$A$17,0)),"")</f>
        <v>—</v>
      </c>
      <c r="AQ83" s="4" t="str">
        <f aca="false">IFERROR(INDEX(Playbook!$E$4:$E$17,MATCH($AF83,Playbook!$A$4:$A$17,0)),"")</f>
        <v>Row read and a contact channel exists</v>
      </c>
      <c r="AR83" s="30" t="n">
        <f aca="false">IFERROR(INDEX(Playbook!$G$4:$G$17,MATCH($AF83,Playbook!$A$4:$A$17,0)),0)</f>
        <v>0</v>
      </c>
      <c r="AS83" s="31" t="n">
        <f aca="false">IFERROR(INDEX('Pricing &amp; Pilot'!$D$4:$D$6,MATCH($D83,'Pricing &amp; Pilot'!$A$4:$A$6,0)),0)</f>
        <v>0</v>
      </c>
      <c r="AT83" s="31" t="n">
        <f aca="false">AS83*AR83</f>
        <v>0</v>
      </c>
      <c r="AU83" s="23" t="str">
        <f aca="true">IF(AL83="","",TODAY()-AL83)</f>
        <v/>
      </c>
      <c r="AV83" s="23" t="str">
        <f aca="true">IF(AM83="","",IF(AND(AM83&lt;TODAY(),$AF83&lt;&gt;"Customer",$AF83&lt;&gt;"Lost",$AF83&lt;&gt;"Not a fit"),"OVERDUE",""))</f>
        <v/>
      </c>
      <c r="AW83" s="23" t="str">
        <f aca="false">IF(AV83="OVERDUE","RED",IF($AF83="Not started","—",IF($AF83="Customer","GREEN",IF(OR($AF83="Lost",$AF83="Not a fit"),"CLOSED","AMBER"))))</f>
        <v>—</v>
      </c>
    </row>
    <row r="84" customFormat="false" ht="48" hidden="false" customHeight="true" outlineLevel="0" collapsed="false">
      <c r="A84" s="23" t="n">
        <v>83</v>
      </c>
      <c r="B84" s="34" t="s">
        <v>454</v>
      </c>
      <c r="C84" s="23" t="str">
        <f aca="false">IF(OR(B84="A",B84="B"),"Yes","No")</f>
        <v>No</v>
      </c>
      <c r="D84" s="23"/>
      <c r="E84" s="23" t="s">
        <v>577</v>
      </c>
      <c r="F84" s="23" t="s">
        <v>578</v>
      </c>
      <c r="G84" s="23"/>
      <c r="H84" s="23"/>
      <c r="I84" s="4"/>
      <c r="J84" s="23" t="s">
        <v>133</v>
      </c>
      <c r="K84" s="23" t="s">
        <v>265</v>
      </c>
      <c r="L84" s="23" t="s">
        <v>134</v>
      </c>
      <c r="M84" s="25" t="n">
        <v>55.6</v>
      </c>
      <c r="N84" s="23" t="s">
        <v>422</v>
      </c>
      <c r="O84" s="23" t="s">
        <v>136</v>
      </c>
      <c r="P84" s="4" t="s">
        <v>462</v>
      </c>
      <c r="Q84" s="4" t="s">
        <v>155</v>
      </c>
      <c r="R84" s="4" t="s">
        <v>463</v>
      </c>
      <c r="S84" s="4"/>
      <c r="T84" s="4"/>
      <c r="U84" s="4"/>
      <c r="V84" s="23"/>
      <c r="W84" s="23"/>
      <c r="X84" s="23"/>
      <c r="Y84" s="23"/>
      <c r="Z84" s="23"/>
      <c r="AA84" s="23"/>
      <c r="AB84" s="23"/>
      <c r="AC84" s="4" t="s">
        <v>579</v>
      </c>
      <c r="AD84" s="26" t="n">
        <f aca="false">COUNTA(V84:AA84)</f>
        <v>0</v>
      </c>
      <c r="AE84" s="27"/>
      <c r="AF84" s="27" t="s">
        <v>34</v>
      </c>
      <c r="AG84" s="28"/>
      <c r="AH84" s="27"/>
      <c r="AI84" s="27"/>
      <c r="AJ84" s="27"/>
      <c r="AK84" s="27"/>
      <c r="AL84" s="28"/>
      <c r="AM84" s="28"/>
      <c r="AN84" s="29"/>
      <c r="AO84" s="4" t="str">
        <f aca="false">IFERROR(INDEX(Playbook!$C$4:$C$17,MATCH($AF84,Playbook!$A$4:$A$17,0)),"")</f>
        <v>Read the row: tier, segment, trigger, reason we lose them. Check contact coverage; if 0, enrich before anything else.</v>
      </c>
      <c r="AP84" s="23" t="str">
        <f aca="false">IFERROR(INDEX(Playbook!$D$4:$D$17,MATCH($AF84,Playbook!$A$4:$A$17,0)),"")</f>
        <v>—</v>
      </c>
      <c r="AQ84" s="4" t="str">
        <f aca="false">IFERROR(INDEX(Playbook!$E$4:$E$17,MATCH($AF84,Playbook!$A$4:$A$17,0)),"")</f>
        <v>Row read and a contact channel exists</v>
      </c>
      <c r="AR84" s="30" t="n">
        <f aca="false">IFERROR(INDEX(Playbook!$G$4:$G$17,MATCH($AF84,Playbook!$A$4:$A$17,0)),0)</f>
        <v>0</v>
      </c>
      <c r="AS84" s="31" t="n">
        <f aca="false">IFERROR(INDEX('Pricing &amp; Pilot'!$D$4:$D$6,MATCH($D84,'Pricing &amp; Pilot'!$A$4:$A$6,0)),0)</f>
        <v>0</v>
      </c>
      <c r="AT84" s="31" t="n">
        <f aca="false">AS84*AR84</f>
        <v>0</v>
      </c>
      <c r="AU84" s="23" t="str">
        <f aca="true">IF(AL84="","",TODAY()-AL84)</f>
        <v/>
      </c>
      <c r="AV84" s="23" t="str">
        <f aca="true">IF(AM84="","",IF(AND(AM84&lt;TODAY(),$AF84&lt;&gt;"Customer",$AF84&lt;&gt;"Lost",$AF84&lt;&gt;"Not a fit"),"OVERDUE",""))</f>
        <v/>
      </c>
      <c r="AW84" s="23" t="str">
        <f aca="false">IF(AV84="OVERDUE","RED",IF($AF84="Not started","—",IF($AF84="Customer","GREEN",IF(OR($AF84="Lost",$AF84="Not a fit"),"CLOSED","AMBER"))))</f>
        <v>—</v>
      </c>
    </row>
    <row r="85" customFormat="false" ht="48" hidden="false" customHeight="true" outlineLevel="0" collapsed="false">
      <c r="A85" s="23" t="n">
        <v>84</v>
      </c>
      <c r="B85" s="34" t="s">
        <v>454</v>
      </c>
      <c r="C85" s="23" t="str">
        <f aca="false">IF(OR(B85="A",B85="B"),"Yes","No")</f>
        <v>No</v>
      </c>
      <c r="D85" s="23"/>
      <c r="E85" s="23" t="s">
        <v>580</v>
      </c>
      <c r="F85" s="23" t="s">
        <v>581</v>
      </c>
      <c r="G85" s="23" t="s">
        <v>582</v>
      </c>
      <c r="H85" s="23"/>
      <c r="I85" s="4"/>
      <c r="J85" s="23" t="s">
        <v>133</v>
      </c>
      <c r="K85" s="23" t="s">
        <v>346</v>
      </c>
      <c r="L85" s="23" t="s">
        <v>134</v>
      </c>
      <c r="M85" s="25" t="n">
        <v>55.6</v>
      </c>
      <c r="N85" s="23" t="s">
        <v>422</v>
      </c>
      <c r="O85" s="23" t="s">
        <v>136</v>
      </c>
      <c r="P85" s="4" t="s">
        <v>483</v>
      </c>
      <c r="Q85" s="4" t="s">
        <v>155</v>
      </c>
      <c r="R85" s="4" t="s">
        <v>463</v>
      </c>
      <c r="S85" s="4"/>
      <c r="T85" s="4"/>
      <c r="U85" s="4"/>
      <c r="V85" s="23"/>
      <c r="W85" s="23"/>
      <c r="X85" s="23"/>
      <c r="Y85" s="23"/>
      <c r="Z85" s="23"/>
      <c r="AA85" s="23"/>
      <c r="AB85" s="23"/>
      <c r="AC85" s="4" t="s">
        <v>583</v>
      </c>
      <c r="AD85" s="26" t="n">
        <f aca="false">COUNTA(V85:AA85)</f>
        <v>0</v>
      </c>
      <c r="AE85" s="27"/>
      <c r="AF85" s="27" t="s">
        <v>34</v>
      </c>
      <c r="AG85" s="28"/>
      <c r="AH85" s="27"/>
      <c r="AI85" s="27"/>
      <c r="AJ85" s="27"/>
      <c r="AK85" s="27"/>
      <c r="AL85" s="28"/>
      <c r="AM85" s="28"/>
      <c r="AN85" s="29"/>
      <c r="AO85" s="4" t="str">
        <f aca="false">IFERROR(INDEX(Playbook!$C$4:$C$17,MATCH($AF85,Playbook!$A$4:$A$17,0)),"")</f>
        <v>Read the row: tier, segment, trigger, reason we lose them. Check contact coverage; if 0, enrich before anything else.</v>
      </c>
      <c r="AP85" s="23" t="str">
        <f aca="false">IFERROR(INDEX(Playbook!$D$4:$D$17,MATCH($AF85,Playbook!$A$4:$A$17,0)),"")</f>
        <v>—</v>
      </c>
      <c r="AQ85" s="4" t="str">
        <f aca="false">IFERROR(INDEX(Playbook!$E$4:$E$17,MATCH($AF85,Playbook!$A$4:$A$17,0)),"")</f>
        <v>Row read and a contact channel exists</v>
      </c>
      <c r="AR85" s="30" t="n">
        <f aca="false">IFERROR(INDEX(Playbook!$G$4:$G$17,MATCH($AF85,Playbook!$A$4:$A$17,0)),0)</f>
        <v>0</v>
      </c>
      <c r="AS85" s="31" t="n">
        <f aca="false">IFERROR(INDEX('Pricing &amp; Pilot'!$D$4:$D$6,MATCH($D85,'Pricing &amp; Pilot'!$A$4:$A$6,0)),0)</f>
        <v>0</v>
      </c>
      <c r="AT85" s="31" t="n">
        <f aca="false">AS85*AR85</f>
        <v>0</v>
      </c>
      <c r="AU85" s="23" t="str">
        <f aca="true">IF(AL85="","",TODAY()-AL85)</f>
        <v/>
      </c>
      <c r="AV85" s="23" t="str">
        <f aca="true">IF(AM85="","",IF(AND(AM85&lt;TODAY(),$AF85&lt;&gt;"Customer",$AF85&lt;&gt;"Lost",$AF85&lt;&gt;"Not a fit"),"OVERDUE",""))</f>
        <v/>
      </c>
      <c r="AW85" s="23" t="str">
        <f aca="false">IF(AV85="OVERDUE","RED",IF($AF85="Not started","—",IF($AF85="Customer","GREEN",IF(OR($AF85="Lost",$AF85="Not a fit"),"CLOSED","AMBER"))))</f>
        <v>—</v>
      </c>
    </row>
    <row r="86" customFormat="false" ht="48" hidden="false" customHeight="true" outlineLevel="0" collapsed="false">
      <c r="A86" s="23" t="n">
        <v>85</v>
      </c>
      <c r="B86" s="34" t="s">
        <v>454</v>
      </c>
      <c r="C86" s="23" t="str">
        <f aca="false">IF(OR(B86="A",B86="B"),"Yes","No")</f>
        <v>No</v>
      </c>
      <c r="D86" s="23"/>
      <c r="E86" s="23" t="s">
        <v>584</v>
      </c>
      <c r="F86" s="23" t="s">
        <v>585</v>
      </c>
      <c r="G86" s="23"/>
      <c r="H86" s="23"/>
      <c r="I86" s="4"/>
      <c r="J86" s="23" t="s">
        <v>133</v>
      </c>
      <c r="K86" s="23" t="s">
        <v>200</v>
      </c>
      <c r="L86" s="23" t="s">
        <v>134</v>
      </c>
      <c r="M86" s="25" t="n">
        <v>55.6</v>
      </c>
      <c r="N86" s="23" t="s">
        <v>422</v>
      </c>
      <c r="O86" s="23" t="s">
        <v>136</v>
      </c>
      <c r="P86" s="4" t="s">
        <v>462</v>
      </c>
      <c r="Q86" s="4" t="s">
        <v>155</v>
      </c>
      <c r="R86" s="4" t="s">
        <v>463</v>
      </c>
      <c r="S86" s="4"/>
      <c r="T86" s="4"/>
      <c r="U86" s="4"/>
      <c r="V86" s="23"/>
      <c r="W86" s="23"/>
      <c r="X86" s="23"/>
      <c r="Y86" s="23"/>
      <c r="Z86" s="23"/>
      <c r="AA86" s="23"/>
      <c r="AB86" s="23"/>
      <c r="AC86" s="4" t="s">
        <v>586</v>
      </c>
      <c r="AD86" s="26" t="n">
        <f aca="false">COUNTA(V86:AA86)</f>
        <v>0</v>
      </c>
      <c r="AE86" s="27"/>
      <c r="AF86" s="27" t="s">
        <v>34</v>
      </c>
      <c r="AG86" s="28"/>
      <c r="AH86" s="27"/>
      <c r="AI86" s="27"/>
      <c r="AJ86" s="27"/>
      <c r="AK86" s="27"/>
      <c r="AL86" s="28"/>
      <c r="AM86" s="28"/>
      <c r="AN86" s="29"/>
      <c r="AO86" s="4" t="str">
        <f aca="false">IFERROR(INDEX(Playbook!$C$4:$C$17,MATCH($AF86,Playbook!$A$4:$A$17,0)),"")</f>
        <v>Read the row: tier, segment, trigger, reason we lose them. Check contact coverage; if 0, enrich before anything else.</v>
      </c>
      <c r="AP86" s="23" t="str">
        <f aca="false">IFERROR(INDEX(Playbook!$D$4:$D$17,MATCH($AF86,Playbook!$A$4:$A$17,0)),"")</f>
        <v>—</v>
      </c>
      <c r="AQ86" s="4" t="str">
        <f aca="false">IFERROR(INDEX(Playbook!$E$4:$E$17,MATCH($AF86,Playbook!$A$4:$A$17,0)),"")</f>
        <v>Row read and a contact channel exists</v>
      </c>
      <c r="AR86" s="30" t="n">
        <f aca="false">IFERROR(INDEX(Playbook!$G$4:$G$17,MATCH($AF86,Playbook!$A$4:$A$17,0)),0)</f>
        <v>0</v>
      </c>
      <c r="AS86" s="31" t="n">
        <f aca="false">IFERROR(INDEX('Pricing &amp; Pilot'!$D$4:$D$6,MATCH($D86,'Pricing &amp; Pilot'!$A$4:$A$6,0)),0)</f>
        <v>0</v>
      </c>
      <c r="AT86" s="31" t="n">
        <f aca="false">AS86*AR86</f>
        <v>0</v>
      </c>
      <c r="AU86" s="23" t="str">
        <f aca="true">IF(AL86="","",TODAY()-AL86)</f>
        <v/>
      </c>
      <c r="AV86" s="23" t="str">
        <f aca="true">IF(AM86="","",IF(AND(AM86&lt;TODAY(),$AF86&lt;&gt;"Customer",$AF86&lt;&gt;"Lost",$AF86&lt;&gt;"Not a fit"),"OVERDUE",""))</f>
        <v/>
      </c>
      <c r="AW86" s="23" t="str">
        <f aca="false">IF(AV86="OVERDUE","RED",IF($AF86="Not started","—",IF($AF86="Customer","GREEN",IF(OR($AF86="Lost",$AF86="Not a fit"),"CLOSED","AMBER"))))</f>
        <v>—</v>
      </c>
    </row>
    <row r="87" customFormat="false" ht="48" hidden="false" customHeight="true" outlineLevel="0" collapsed="false">
      <c r="A87" s="23" t="n">
        <v>86</v>
      </c>
      <c r="B87" s="34" t="s">
        <v>454</v>
      </c>
      <c r="C87" s="23" t="str">
        <f aca="false">IF(OR(B87="A",B87="B"),"Yes","No")</f>
        <v>No</v>
      </c>
      <c r="D87" s="23"/>
      <c r="E87" s="23" t="s">
        <v>587</v>
      </c>
      <c r="F87" s="23" t="s">
        <v>588</v>
      </c>
      <c r="G87" s="23"/>
      <c r="H87" s="23"/>
      <c r="I87" s="4"/>
      <c r="J87" s="23" t="s">
        <v>133</v>
      </c>
      <c r="K87" s="23" t="s">
        <v>265</v>
      </c>
      <c r="L87" s="23" t="s">
        <v>134</v>
      </c>
      <c r="M87" s="25" t="n">
        <v>55.6</v>
      </c>
      <c r="N87" s="23" t="s">
        <v>422</v>
      </c>
      <c r="O87" s="23" t="s">
        <v>136</v>
      </c>
      <c r="P87" s="4" t="s">
        <v>462</v>
      </c>
      <c r="Q87" s="4" t="s">
        <v>155</v>
      </c>
      <c r="R87" s="4" t="s">
        <v>463</v>
      </c>
      <c r="S87" s="4"/>
      <c r="T87" s="4"/>
      <c r="U87" s="4"/>
      <c r="V87" s="23"/>
      <c r="W87" s="23"/>
      <c r="X87" s="23"/>
      <c r="Y87" s="23"/>
      <c r="Z87" s="23"/>
      <c r="AA87" s="23"/>
      <c r="AB87" s="23"/>
      <c r="AC87" s="4" t="s">
        <v>589</v>
      </c>
      <c r="AD87" s="26" t="n">
        <f aca="false">COUNTA(V87:AA87)</f>
        <v>0</v>
      </c>
      <c r="AE87" s="27"/>
      <c r="AF87" s="27" t="s">
        <v>34</v>
      </c>
      <c r="AG87" s="28"/>
      <c r="AH87" s="27"/>
      <c r="AI87" s="27"/>
      <c r="AJ87" s="27"/>
      <c r="AK87" s="27"/>
      <c r="AL87" s="28"/>
      <c r="AM87" s="28"/>
      <c r="AN87" s="29"/>
      <c r="AO87" s="4" t="str">
        <f aca="false">IFERROR(INDEX(Playbook!$C$4:$C$17,MATCH($AF87,Playbook!$A$4:$A$17,0)),"")</f>
        <v>Read the row: tier, segment, trigger, reason we lose them. Check contact coverage; if 0, enrich before anything else.</v>
      </c>
      <c r="AP87" s="23" t="str">
        <f aca="false">IFERROR(INDEX(Playbook!$D$4:$D$17,MATCH($AF87,Playbook!$A$4:$A$17,0)),"")</f>
        <v>—</v>
      </c>
      <c r="AQ87" s="4" t="str">
        <f aca="false">IFERROR(INDEX(Playbook!$E$4:$E$17,MATCH($AF87,Playbook!$A$4:$A$17,0)),"")</f>
        <v>Row read and a contact channel exists</v>
      </c>
      <c r="AR87" s="30" t="n">
        <f aca="false">IFERROR(INDEX(Playbook!$G$4:$G$17,MATCH($AF87,Playbook!$A$4:$A$17,0)),0)</f>
        <v>0</v>
      </c>
      <c r="AS87" s="31" t="n">
        <f aca="false">IFERROR(INDEX('Pricing &amp; Pilot'!$D$4:$D$6,MATCH($D87,'Pricing &amp; Pilot'!$A$4:$A$6,0)),0)</f>
        <v>0</v>
      </c>
      <c r="AT87" s="31" t="n">
        <f aca="false">AS87*AR87</f>
        <v>0</v>
      </c>
      <c r="AU87" s="23" t="str">
        <f aca="true">IF(AL87="","",TODAY()-AL87)</f>
        <v/>
      </c>
      <c r="AV87" s="23" t="str">
        <f aca="true">IF(AM87="","",IF(AND(AM87&lt;TODAY(),$AF87&lt;&gt;"Customer",$AF87&lt;&gt;"Lost",$AF87&lt;&gt;"Not a fit"),"OVERDUE",""))</f>
        <v/>
      </c>
      <c r="AW87" s="23" t="str">
        <f aca="false">IF(AV87="OVERDUE","RED",IF($AF87="Not started","—",IF($AF87="Customer","GREEN",IF(OR($AF87="Lost",$AF87="Not a fit"),"CLOSED","AMBER"))))</f>
        <v>—</v>
      </c>
    </row>
    <row r="88" customFormat="false" ht="48" hidden="false" customHeight="true" outlineLevel="0" collapsed="false">
      <c r="A88" s="23" t="n">
        <v>87</v>
      </c>
      <c r="B88" s="34" t="s">
        <v>454</v>
      </c>
      <c r="C88" s="23" t="str">
        <f aca="false">IF(OR(B88="A",B88="B"),"Yes","No")</f>
        <v>No</v>
      </c>
      <c r="D88" s="23"/>
      <c r="E88" s="23" t="s">
        <v>590</v>
      </c>
      <c r="F88" s="23" t="s">
        <v>591</v>
      </c>
      <c r="G88" s="23"/>
      <c r="H88" s="23"/>
      <c r="I88" s="4"/>
      <c r="J88" s="23" t="s">
        <v>133</v>
      </c>
      <c r="K88" s="23" t="s">
        <v>209</v>
      </c>
      <c r="L88" s="23" t="s">
        <v>134</v>
      </c>
      <c r="M88" s="25" t="n">
        <v>55.6</v>
      </c>
      <c r="N88" s="23" t="s">
        <v>422</v>
      </c>
      <c r="O88" s="23" t="s">
        <v>136</v>
      </c>
      <c r="P88" s="4" t="s">
        <v>462</v>
      </c>
      <c r="Q88" s="4" t="s">
        <v>155</v>
      </c>
      <c r="R88" s="4" t="s">
        <v>463</v>
      </c>
      <c r="S88" s="4"/>
      <c r="T88" s="4"/>
      <c r="U88" s="4"/>
      <c r="V88" s="23"/>
      <c r="W88" s="23"/>
      <c r="X88" s="23"/>
      <c r="Y88" s="23"/>
      <c r="Z88" s="23"/>
      <c r="AA88" s="23"/>
      <c r="AB88" s="23"/>
      <c r="AC88" s="4" t="s">
        <v>592</v>
      </c>
      <c r="AD88" s="26" t="n">
        <f aca="false">COUNTA(V88:AA88)</f>
        <v>0</v>
      </c>
      <c r="AE88" s="27"/>
      <c r="AF88" s="27" t="s">
        <v>34</v>
      </c>
      <c r="AG88" s="28"/>
      <c r="AH88" s="27"/>
      <c r="AI88" s="27"/>
      <c r="AJ88" s="27"/>
      <c r="AK88" s="27"/>
      <c r="AL88" s="28"/>
      <c r="AM88" s="28"/>
      <c r="AN88" s="29"/>
      <c r="AO88" s="4" t="str">
        <f aca="false">IFERROR(INDEX(Playbook!$C$4:$C$17,MATCH($AF88,Playbook!$A$4:$A$17,0)),"")</f>
        <v>Read the row: tier, segment, trigger, reason we lose them. Check contact coverage; if 0, enrich before anything else.</v>
      </c>
      <c r="AP88" s="23" t="str">
        <f aca="false">IFERROR(INDEX(Playbook!$D$4:$D$17,MATCH($AF88,Playbook!$A$4:$A$17,0)),"")</f>
        <v>—</v>
      </c>
      <c r="AQ88" s="4" t="str">
        <f aca="false">IFERROR(INDEX(Playbook!$E$4:$E$17,MATCH($AF88,Playbook!$A$4:$A$17,0)),"")</f>
        <v>Row read and a contact channel exists</v>
      </c>
      <c r="AR88" s="30" t="n">
        <f aca="false">IFERROR(INDEX(Playbook!$G$4:$G$17,MATCH($AF88,Playbook!$A$4:$A$17,0)),0)</f>
        <v>0</v>
      </c>
      <c r="AS88" s="31" t="n">
        <f aca="false">IFERROR(INDEX('Pricing &amp; Pilot'!$D$4:$D$6,MATCH($D88,'Pricing &amp; Pilot'!$A$4:$A$6,0)),0)</f>
        <v>0</v>
      </c>
      <c r="AT88" s="31" t="n">
        <f aca="false">AS88*AR88</f>
        <v>0</v>
      </c>
      <c r="AU88" s="23" t="str">
        <f aca="true">IF(AL88="","",TODAY()-AL88)</f>
        <v/>
      </c>
      <c r="AV88" s="23" t="str">
        <f aca="true">IF(AM88="","",IF(AND(AM88&lt;TODAY(),$AF88&lt;&gt;"Customer",$AF88&lt;&gt;"Lost",$AF88&lt;&gt;"Not a fit"),"OVERDUE",""))</f>
        <v/>
      </c>
      <c r="AW88" s="23" t="str">
        <f aca="false">IF(AV88="OVERDUE","RED",IF($AF88="Not started","—",IF($AF88="Customer","GREEN",IF(OR($AF88="Lost",$AF88="Not a fit"),"CLOSED","AMBER"))))</f>
        <v>—</v>
      </c>
    </row>
    <row r="89" customFormat="false" ht="48" hidden="false" customHeight="true" outlineLevel="0" collapsed="false">
      <c r="A89" s="23" t="n">
        <v>88</v>
      </c>
      <c r="B89" s="34" t="s">
        <v>454</v>
      </c>
      <c r="C89" s="23" t="str">
        <f aca="false">IF(OR(B89="A",B89="B"),"Yes","No")</f>
        <v>No</v>
      </c>
      <c r="D89" s="23"/>
      <c r="E89" s="23" t="s">
        <v>593</v>
      </c>
      <c r="F89" s="23" t="s">
        <v>594</v>
      </c>
      <c r="G89" s="23" t="s">
        <v>595</v>
      </c>
      <c r="H89" s="23"/>
      <c r="I89" s="4"/>
      <c r="J89" s="23" t="s">
        <v>133</v>
      </c>
      <c r="K89" s="23" t="s">
        <v>292</v>
      </c>
      <c r="L89" s="23" t="s">
        <v>134</v>
      </c>
      <c r="M89" s="25" t="n">
        <v>55.6</v>
      </c>
      <c r="N89" s="23" t="s">
        <v>422</v>
      </c>
      <c r="O89" s="23" t="s">
        <v>136</v>
      </c>
      <c r="P89" s="4" t="s">
        <v>462</v>
      </c>
      <c r="Q89" s="4" t="s">
        <v>155</v>
      </c>
      <c r="R89" s="4" t="s">
        <v>463</v>
      </c>
      <c r="S89" s="4"/>
      <c r="T89" s="4"/>
      <c r="U89" s="4"/>
      <c r="V89" s="23"/>
      <c r="W89" s="23"/>
      <c r="X89" s="23"/>
      <c r="Y89" s="23"/>
      <c r="Z89" s="23"/>
      <c r="AA89" s="23"/>
      <c r="AB89" s="23"/>
      <c r="AC89" s="4" t="s">
        <v>596</v>
      </c>
      <c r="AD89" s="26" t="n">
        <f aca="false">COUNTA(V89:AA89)</f>
        <v>0</v>
      </c>
      <c r="AE89" s="27"/>
      <c r="AF89" s="27" t="s">
        <v>34</v>
      </c>
      <c r="AG89" s="28"/>
      <c r="AH89" s="27"/>
      <c r="AI89" s="27"/>
      <c r="AJ89" s="27"/>
      <c r="AK89" s="27"/>
      <c r="AL89" s="28"/>
      <c r="AM89" s="28"/>
      <c r="AN89" s="29"/>
      <c r="AO89" s="4" t="str">
        <f aca="false">IFERROR(INDEX(Playbook!$C$4:$C$17,MATCH($AF89,Playbook!$A$4:$A$17,0)),"")</f>
        <v>Read the row: tier, segment, trigger, reason we lose them. Check contact coverage; if 0, enrich before anything else.</v>
      </c>
      <c r="AP89" s="23" t="str">
        <f aca="false">IFERROR(INDEX(Playbook!$D$4:$D$17,MATCH($AF89,Playbook!$A$4:$A$17,0)),"")</f>
        <v>—</v>
      </c>
      <c r="AQ89" s="4" t="str">
        <f aca="false">IFERROR(INDEX(Playbook!$E$4:$E$17,MATCH($AF89,Playbook!$A$4:$A$17,0)),"")</f>
        <v>Row read and a contact channel exists</v>
      </c>
      <c r="AR89" s="30" t="n">
        <f aca="false">IFERROR(INDEX(Playbook!$G$4:$G$17,MATCH($AF89,Playbook!$A$4:$A$17,0)),0)</f>
        <v>0</v>
      </c>
      <c r="AS89" s="31" t="n">
        <f aca="false">IFERROR(INDEX('Pricing &amp; Pilot'!$D$4:$D$6,MATCH($D89,'Pricing &amp; Pilot'!$A$4:$A$6,0)),0)</f>
        <v>0</v>
      </c>
      <c r="AT89" s="31" t="n">
        <f aca="false">AS89*AR89</f>
        <v>0</v>
      </c>
      <c r="AU89" s="23" t="str">
        <f aca="true">IF(AL89="","",TODAY()-AL89)</f>
        <v/>
      </c>
      <c r="AV89" s="23" t="str">
        <f aca="true">IF(AM89="","",IF(AND(AM89&lt;TODAY(),$AF89&lt;&gt;"Customer",$AF89&lt;&gt;"Lost",$AF89&lt;&gt;"Not a fit"),"OVERDUE",""))</f>
        <v/>
      </c>
      <c r="AW89" s="23" t="str">
        <f aca="false">IF(AV89="OVERDUE","RED",IF($AF89="Not started","—",IF($AF89="Customer","GREEN",IF(OR($AF89="Lost",$AF89="Not a fit"),"CLOSED","AMBER"))))</f>
        <v>—</v>
      </c>
    </row>
    <row r="90" customFormat="false" ht="48" hidden="false" customHeight="true" outlineLevel="0" collapsed="false">
      <c r="A90" s="23" t="n">
        <v>89</v>
      </c>
      <c r="B90" s="34" t="s">
        <v>454</v>
      </c>
      <c r="C90" s="23" t="str">
        <f aca="false">IF(OR(B90="A",B90="B"),"Yes","No")</f>
        <v>No</v>
      </c>
      <c r="D90" s="23"/>
      <c r="E90" s="23" t="s">
        <v>597</v>
      </c>
      <c r="F90" s="23" t="s">
        <v>598</v>
      </c>
      <c r="G90" s="23"/>
      <c r="H90" s="23"/>
      <c r="I90" s="4"/>
      <c r="J90" s="23" t="s">
        <v>133</v>
      </c>
      <c r="K90" s="23" t="s">
        <v>134</v>
      </c>
      <c r="L90" s="23" t="s">
        <v>134</v>
      </c>
      <c r="M90" s="25" t="n">
        <v>55.6</v>
      </c>
      <c r="N90" s="23" t="s">
        <v>422</v>
      </c>
      <c r="O90" s="23" t="s">
        <v>136</v>
      </c>
      <c r="P90" s="4" t="s">
        <v>462</v>
      </c>
      <c r="Q90" s="4" t="s">
        <v>155</v>
      </c>
      <c r="R90" s="4" t="s">
        <v>463</v>
      </c>
      <c r="S90" s="4"/>
      <c r="T90" s="4"/>
      <c r="U90" s="4"/>
      <c r="V90" s="23"/>
      <c r="W90" s="23"/>
      <c r="X90" s="23"/>
      <c r="Y90" s="23"/>
      <c r="Z90" s="23"/>
      <c r="AA90" s="23"/>
      <c r="AB90" s="23"/>
      <c r="AC90" s="4" t="s">
        <v>599</v>
      </c>
      <c r="AD90" s="26" t="n">
        <f aca="false">COUNTA(V90:AA90)</f>
        <v>0</v>
      </c>
      <c r="AE90" s="27"/>
      <c r="AF90" s="27" t="s">
        <v>34</v>
      </c>
      <c r="AG90" s="28"/>
      <c r="AH90" s="27"/>
      <c r="AI90" s="27"/>
      <c r="AJ90" s="27"/>
      <c r="AK90" s="27"/>
      <c r="AL90" s="28"/>
      <c r="AM90" s="28"/>
      <c r="AN90" s="29"/>
      <c r="AO90" s="4" t="str">
        <f aca="false">IFERROR(INDEX(Playbook!$C$4:$C$17,MATCH($AF90,Playbook!$A$4:$A$17,0)),"")</f>
        <v>Read the row: tier, segment, trigger, reason we lose them. Check contact coverage; if 0, enrich before anything else.</v>
      </c>
      <c r="AP90" s="23" t="str">
        <f aca="false">IFERROR(INDEX(Playbook!$D$4:$D$17,MATCH($AF90,Playbook!$A$4:$A$17,0)),"")</f>
        <v>—</v>
      </c>
      <c r="AQ90" s="4" t="str">
        <f aca="false">IFERROR(INDEX(Playbook!$E$4:$E$17,MATCH($AF90,Playbook!$A$4:$A$17,0)),"")</f>
        <v>Row read and a contact channel exists</v>
      </c>
      <c r="AR90" s="30" t="n">
        <f aca="false">IFERROR(INDEX(Playbook!$G$4:$G$17,MATCH($AF90,Playbook!$A$4:$A$17,0)),0)</f>
        <v>0</v>
      </c>
      <c r="AS90" s="31" t="n">
        <f aca="false">IFERROR(INDEX('Pricing &amp; Pilot'!$D$4:$D$6,MATCH($D90,'Pricing &amp; Pilot'!$A$4:$A$6,0)),0)</f>
        <v>0</v>
      </c>
      <c r="AT90" s="31" t="n">
        <f aca="false">AS90*AR90</f>
        <v>0</v>
      </c>
      <c r="AU90" s="23" t="str">
        <f aca="true">IF(AL90="","",TODAY()-AL90)</f>
        <v/>
      </c>
      <c r="AV90" s="23" t="str">
        <f aca="true">IF(AM90="","",IF(AND(AM90&lt;TODAY(),$AF90&lt;&gt;"Customer",$AF90&lt;&gt;"Lost",$AF90&lt;&gt;"Not a fit"),"OVERDUE",""))</f>
        <v/>
      </c>
      <c r="AW90" s="23" t="str">
        <f aca="false">IF(AV90="OVERDUE","RED",IF($AF90="Not started","—",IF($AF90="Customer","GREEN",IF(OR($AF90="Lost",$AF90="Not a fit"),"CLOSED","AMBER"))))</f>
        <v>—</v>
      </c>
    </row>
    <row r="91" customFormat="false" ht="48" hidden="false" customHeight="true" outlineLevel="0" collapsed="false">
      <c r="A91" s="23" t="n">
        <v>90</v>
      </c>
      <c r="B91" s="34" t="s">
        <v>454</v>
      </c>
      <c r="C91" s="23" t="str">
        <f aca="false">IF(OR(B91="A",B91="B"),"Yes","No")</f>
        <v>No</v>
      </c>
      <c r="D91" s="23"/>
      <c r="E91" s="23" t="s">
        <v>600</v>
      </c>
      <c r="F91" s="23" t="s">
        <v>601</v>
      </c>
      <c r="G91" s="23"/>
      <c r="H91" s="23"/>
      <c r="I91" s="4"/>
      <c r="J91" s="23" t="s">
        <v>133</v>
      </c>
      <c r="K91" s="23" t="s">
        <v>188</v>
      </c>
      <c r="L91" s="23" t="s">
        <v>134</v>
      </c>
      <c r="M91" s="25" t="n">
        <v>55.6</v>
      </c>
      <c r="N91" s="23" t="s">
        <v>422</v>
      </c>
      <c r="O91" s="23" t="s">
        <v>136</v>
      </c>
      <c r="P91" s="4" t="s">
        <v>462</v>
      </c>
      <c r="Q91" s="4" t="s">
        <v>155</v>
      </c>
      <c r="R91" s="4" t="s">
        <v>463</v>
      </c>
      <c r="S91" s="4"/>
      <c r="T91" s="4"/>
      <c r="U91" s="4"/>
      <c r="V91" s="23"/>
      <c r="W91" s="23"/>
      <c r="X91" s="23"/>
      <c r="Y91" s="23"/>
      <c r="Z91" s="23"/>
      <c r="AA91" s="23"/>
      <c r="AB91" s="23"/>
      <c r="AC91" s="4" t="s">
        <v>602</v>
      </c>
      <c r="AD91" s="26" t="n">
        <f aca="false">COUNTA(V91:AA91)</f>
        <v>0</v>
      </c>
      <c r="AE91" s="27"/>
      <c r="AF91" s="27" t="s">
        <v>34</v>
      </c>
      <c r="AG91" s="28"/>
      <c r="AH91" s="27"/>
      <c r="AI91" s="27"/>
      <c r="AJ91" s="27"/>
      <c r="AK91" s="27"/>
      <c r="AL91" s="28"/>
      <c r="AM91" s="28"/>
      <c r="AN91" s="29"/>
      <c r="AO91" s="4" t="str">
        <f aca="false">IFERROR(INDEX(Playbook!$C$4:$C$17,MATCH($AF91,Playbook!$A$4:$A$17,0)),"")</f>
        <v>Read the row: tier, segment, trigger, reason we lose them. Check contact coverage; if 0, enrich before anything else.</v>
      </c>
      <c r="AP91" s="23" t="str">
        <f aca="false">IFERROR(INDEX(Playbook!$D$4:$D$17,MATCH($AF91,Playbook!$A$4:$A$17,0)),"")</f>
        <v>—</v>
      </c>
      <c r="AQ91" s="4" t="str">
        <f aca="false">IFERROR(INDEX(Playbook!$E$4:$E$17,MATCH($AF91,Playbook!$A$4:$A$17,0)),"")</f>
        <v>Row read and a contact channel exists</v>
      </c>
      <c r="AR91" s="30" t="n">
        <f aca="false">IFERROR(INDEX(Playbook!$G$4:$G$17,MATCH($AF91,Playbook!$A$4:$A$17,0)),0)</f>
        <v>0</v>
      </c>
      <c r="AS91" s="31" t="n">
        <f aca="false">IFERROR(INDEX('Pricing &amp; Pilot'!$D$4:$D$6,MATCH($D91,'Pricing &amp; Pilot'!$A$4:$A$6,0)),0)</f>
        <v>0</v>
      </c>
      <c r="AT91" s="31" t="n">
        <f aca="false">AS91*AR91</f>
        <v>0</v>
      </c>
      <c r="AU91" s="23" t="str">
        <f aca="true">IF(AL91="","",TODAY()-AL91)</f>
        <v/>
      </c>
      <c r="AV91" s="23" t="str">
        <f aca="true">IF(AM91="","",IF(AND(AM91&lt;TODAY(),$AF91&lt;&gt;"Customer",$AF91&lt;&gt;"Lost",$AF91&lt;&gt;"Not a fit"),"OVERDUE",""))</f>
        <v/>
      </c>
      <c r="AW91" s="23" t="str">
        <f aca="false">IF(AV91="OVERDUE","RED",IF($AF91="Not started","—",IF($AF91="Customer","GREEN",IF(OR($AF91="Lost",$AF91="Not a fit"),"CLOSED","AMBER"))))</f>
        <v>—</v>
      </c>
    </row>
    <row r="92" customFormat="false" ht="48" hidden="false" customHeight="true" outlineLevel="0" collapsed="false">
      <c r="A92" s="23" t="n">
        <v>91</v>
      </c>
      <c r="B92" s="34" t="s">
        <v>454</v>
      </c>
      <c r="C92" s="23" t="str">
        <f aca="false">IF(OR(B92="A",B92="B"),"Yes","No")</f>
        <v>No</v>
      </c>
      <c r="D92" s="23"/>
      <c r="E92" s="23" t="s">
        <v>603</v>
      </c>
      <c r="F92" s="23" t="s">
        <v>604</v>
      </c>
      <c r="G92" s="23" t="s">
        <v>605</v>
      </c>
      <c r="H92" s="23"/>
      <c r="I92" s="4"/>
      <c r="J92" s="23" t="s">
        <v>133</v>
      </c>
      <c r="K92" s="23" t="s">
        <v>134</v>
      </c>
      <c r="L92" s="23" t="s">
        <v>134</v>
      </c>
      <c r="M92" s="25" t="n">
        <v>55.6</v>
      </c>
      <c r="N92" s="23" t="s">
        <v>422</v>
      </c>
      <c r="O92" s="23" t="s">
        <v>136</v>
      </c>
      <c r="P92" s="4" t="s">
        <v>462</v>
      </c>
      <c r="Q92" s="4" t="s">
        <v>138</v>
      </c>
      <c r="R92" s="4" t="s">
        <v>463</v>
      </c>
      <c r="S92" s="4"/>
      <c r="T92" s="4"/>
      <c r="U92" s="4"/>
      <c r="V92" s="23" t="s">
        <v>606</v>
      </c>
      <c r="W92" s="23" t="s">
        <v>607</v>
      </c>
      <c r="X92" s="23" t="s">
        <v>608</v>
      </c>
      <c r="Y92" s="23"/>
      <c r="Z92" s="23"/>
      <c r="AA92" s="23"/>
      <c r="AB92" s="23"/>
      <c r="AC92" s="4" t="s">
        <v>609</v>
      </c>
      <c r="AD92" s="26" t="n">
        <f aca="false">COUNTA(V92:AA92)</f>
        <v>3</v>
      </c>
      <c r="AE92" s="27"/>
      <c r="AF92" s="27" t="s">
        <v>34</v>
      </c>
      <c r="AG92" s="28"/>
      <c r="AH92" s="27"/>
      <c r="AI92" s="27"/>
      <c r="AJ92" s="27"/>
      <c r="AK92" s="27"/>
      <c r="AL92" s="28"/>
      <c r="AM92" s="28"/>
      <c r="AN92" s="29"/>
      <c r="AO92" s="4" t="str">
        <f aca="false">IFERROR(INDEX(Playbook!$C$4:$C$17,MATCH($AF92,Playbook!$A$4:$A$17,0)),"")</f>
        <v>Read the row: tier, segment, trigger, reason we lose them. Check contact coverage; if 0, enrich before anything else.</v>
      </c>
      <c r="AP92" s="23" t="str">
        <f aca="false">IFERROR(INDEX(Playbook!$D$4:$D$17,MATCH($AF92,Playbook!$A$4:$A$17,0)),"")</f>
        <v>—</v>
      </c>
      <c r="AQ92" s="4" t="str">
        <f aca="false">IFERROR(INDEX(Playbook!$E$4:$E$17,MATCH($AF92,Playbook!$A$4:$A$17,0)),"")</f>
        <v>Row read and a contact channel exists</v>
      </c>
      <c r="AR92" s="30" t="n">
        <f aca="false">IFERROR(INDEX(Playbook!$G$4:$G$17,MATCH($AF92,Playbook!$A$4:$A$17,0)),0)</f>
        <v>0</v>
      </c>
      <c r="AS92" s="31" t="n">
        <f aca="false">IFERROR(INDEX('Pricing &amp; Pilot'!$D$4:$D$6,MATCH($D92,'Pricing &amp; Pilot'!$A$4:$A$6,0)),0)</f>
        <v>0</v>
      </c>
      <c r="AT92" s="31" t="n">
        <f aca="false">AS92*AR92</f>
        <v>0</v>
      </c>
      <c r="AU92" s="23" t="str">
        <f aca="true">IF(AL92="","",TODAY()-AL92)</f>
        <v/>
      </c>
      <c r="AV92" s="23" t="str">
        <f aca="true">IF(AM92="","",IF(AND(AM92&lt;TODAY(),$AF92&lt;&gt;"Customer",$AF92&lt;&gt;"Lost",$AF92&lt;&gt;"Not a fit"),"OVERDUE",""))</f>
        <v/>
      </c>
      <c r="AW92" s="23" t="str">
        <f aca="false">IF(AV92="OVERDUE","RED",IF($AF92="Not started","—",IF($AF92="Customer","GREEN",IF(OR($AF92="Lost",$AF92="Not a fit"),"CLOSED","AMBER"))))</f>
        <v>—</v>
      </c>
    </row>
    <row r="93" customFormat="false" ht="48" hidden="false" customHeight="true" outlineLevel="0" collapsed="false">
      <c r="A93" s="23" t="n">
        <v>92</v>
      </c>
      <c r="B93" s="34" t="s">
        <v>454</v>
      </c>
      <c r="C93" s="23" t="str">
        <f aca="false">IF(OR(B93="A",B93="B"),"Yes","No")</f>
        <v>No</v>
      </c>
      <c r="D93" s="23"/>
      <c r="E93" s="23" t="s">
        <v>610</v>
      </c>
      <c r="F93" s="23" t="s">
        <v>611</v>
      </c>
      <c r="G93" s="23" t="s">
        <v>612</v>
      </c>
      <c r="H93" s="23"/>
      <c r="I93" s="4"/>
      <c r="J93" s="23" t="s">
        <v>133</v>
      </c>
      <c r="K93" s="23" t="s">
        <v>134</v>
      </c>
      <c r="L93" s="23" t="s">
        <v>134</v>
      </c>
      <c r="M93" s="25" t="n">
        <v>55.6</v>
      </c>
      <c r="N93" s="23" t="s">
        <v>422</v>
      </c>
      <c r="O93" s="23" t="s">
        <v>136</v>
      </c>
      <c r="P93" s="4" t="s">
        <v>462</v>
      </c>
      <c r="Q93" s="4" t="s">
        <v>155</v>
      </c>
      <c r="R93" s="4" t="s">
        <v>463</v>
      </c>
      <c r="S93" s="4"/>
      <c r="T93" s="4"/>
      <c r="U93" s="4"/>
      <c r="V93" s="23"/>
      <c r="W93" s="23"/>
      <c r="X93" s="23"/>
      <c r="Y93" s="23"/>
      <c r="Z93" s="23"/>
      <c r="AA93" s="23"/>
      <c r="AB93" s="23"/>
      <c r="AC93" s="4" t="s">
        <v>613</v>
      </c>
      <c r="AD93" s="26" t="n">
        <f aca="false">COUNTA(V93:AA93)</f>
        <v>0</v>
      </c>
      <c r="AE93" s="27"/>
      <c r="AF93" s="27" t="s">
        <v>34</v>
      </c>
      <c r="AG93" s="28"/>
      <c r="AH93" s="27"/>
      <c r="AI93" s="27"/>
      <c r="AJ93" s="27"/>
      <c r="AK93" s="27"/>
      <c r="AL93" s="28"/>
      <c r="AM93" s="28"/>
      <c r="AN93" s="29"/>
      <c r="AO93" s="4" t="str">
        <f aca="false">IFERROR(INDEX(Playbook!$C$4:$C$17,MATCH($AF93,Playbook!$A$4:$A$17,0)),"")</f>
        <v>Read the row: tier, segment, trigger, reason we lose them. Check contact coverage; if 0, enrich before anything else.</v>
      </c>
      <c r="AP93" s="23" t="str">
        <f aca="false">IFERROR(INDEX(Playbook!$D$4:$D$17,MATCH($AF93,Playbook!$A$4:$A$17,0)),"")</f>
        <v>—</v>
      </c>
      <c r="AQ93" s="4" t="str">
        <f aca="false">IFERROR(INDEX(Playbook!$E$4:$E$17,MATCH($AF93,Playbook!$A$4:$A$17,0)),"")</f>
        <v>Row read and a contact channel exists</v>
      </c>
      <c r="AR93" s="30" t="n">
        <f aca="false">IFERROR(INDEX(Playbook!$G$4:$G$17,MATCH($AF93,Playbook!$A$4:$A$17,0)),0)</f>
        <v>0</v>
      </c>
      <c r="AS93" s="31" t="n">
        <f aca="false">IFERROR(INDEX('Pricing &amp; Pilot'!$D$4:$D$6,MATCH($D93,'Pricing &amp; Pilot'!$A$4:$A$6,0)),0)</f>
        <v>0</v>
      </c>
      <c r="AT93" s="31" t="n">
        <f aca="false">AS93*AR93</f>
        <v>0</v>
      </c>
      <c r="AU93" s="23" t="str">
        <f aca="true">IF(AL93="","",TODAY()-AL93)</f>
        <v/>
      </c>
      <c r="AV93" s="23" t="str">
        <f aca="true">IF(AM93="","",IF(AND(AM93&lt;TODAY(),$AF93&lt;&gt;"Customer",$AF93&lt;&gt;"Lost",$AF93&lt;&gt;"Not a fit"),"OVERDUE",""))</f>
        <v/>
      </c>
      <c r="AW93" s="23" t="str">
        <f aca="false">IF(AV93="OVERDUE","RED",IF($AF93="Not started","—",IF($AF93="Customer","GREEN",IF(OR($AF93="Lost",$AF93="Not a fit"),"CLOSED","AMBER"))))</f>
        <v>—</v>
      </c>
    </row>
    <row r="94" customFormat="false" ht="48" hidden="false" customHeight="true" outlineLevel="0" collapsed="false">
      <c r="A94" s="23" t="n">
        <v>93</v>
      </c>
      <c r="B94" s="34" t="s">
        <v>454</v>
      </c>
      <c r="C94" s="23" t="str">
        <f aca="false">IF(OR(B94="A",B94="B"),"Yes","No")</f>
        <v>No</v>
      </c>
      <c r="D94" s="23"/>
      <c r="E94" s="23" t="s">
        <v>614</v>
      </c>
      <c r="F94" s="23" t="s">
        <v>615</v>
      </c>
      <c r="G94" s="23"/>
      <c r="H94" s="23"/>
      <c r="I94" s="4"/>
      <c r="J94" s="23" t="s">
        <v>133</v>
      </c>
      <c r="K94" s="23" t="s">
        <v>517</v>
      </c>
      <c r="L94" s="23" t="s">
        <v>134</v>
      </c>
      <c r="M94" s="25" t="n">
        <v>55.6</v>
      </c>
      <c r="N94" s="23" t="s">
        <v>422</v>
      </c>
      <c r="O94" s="23" t="s">
        <v>136</v>
      </c>
      <c r="P94" s="4" t="s">
        <v>462</v>
      </c>
      <c r="Q94" s="4" t="s">
        <v>155</v>
      </c>
      <c r="R94" s="4" t="s">
        <v>463</v>
      </c>
      <c r="S94" s="4"/>
      <c r="T94" s="4"/>
      <c r="U94" s="4"/>
      <c r="V94" s="23" t="s">
        <v>616</v>
      </c>
      <c r="W94" s="23"/>
      <c r="X94" s="23"/>
      <c r="Y94" s="23"/>
      <c r="Z94" s="23"/>
      <c r="AA94" s="23"/>
      <c r="AB94" s="23"/>
      <c r="AC94" s="4" t="s">
        <v>617</v>
      </c>
      <c r="AD94" s="26" t="n">
        <f aca="false">COUNTA(V94:AA94)</f>
        <v>1</v>
      </c>
      <c r="AE94" s="27"/>
      <c r="AF94" s="27" t="s">
        <v>34</v>
      </c>
      <c r="AG94" s="28"/>
      <c r="AH94" s="27"/>
      <c r="AI94" s="27"/>
      <c r="AJ94" s="27"/>
      <c r="AK94" s="27"/>
      <c r="AL94" s="28"/>
      <c r="AM94" s="28"/>
      <c r="AN94" s="29"/>
      <c r="AO94" s="4" t="str">
        <f aca="false">IFERROR(INDEX(Playbook!$C$4:$C$17,MATCH($AF94,Playbook!$A$4:$A$17,0)),"")</f>
        <v>Read the row: tier, segment, trigger, reason we lose them. Check contact coverage; if 0, enrich before anything else.</v>
      </c>
      <c r="AP94" s="23" t="str">
        <f aca="false">IFERROR(INDEX(Playbook!$D$4:$D$17,MATCH($AF94,Playbook!$A$4:$A$17,0)),"")</f>
        <v>—</v>
      </c>
      <c r="AQ94" s="4" t="str">
        <f aca="false">IFERROR(INDEX(Playbook!$E$4:$E$17,MATCH($AF94,Playbook!$A$4:$A$17,0)),"")</f>
        <v>Row read and a contact channel exists</v>
      </c>
      <c r="AR94" s="30" t="n">
        <f aca="false">IFERROR(INDEX(Playbook!$G$4:$G$17,MATCH($AF94,Playbook!$A$4:$A$17,0)),0)</f>
        <v>0</v>
      </c>
      <c r="AS94" s="31" t="n">
        <f aca="false">IFERROR(INDEX('Pricing &amp; Pilot'!$D$4:$D$6,MATCH($D94,'Pricing &amp; Pilot'!$A$4:$A$6,0)),0)</f>
        <v>0</v>
      </c>
      <c r="AT94" s="31" t="n">
        <f aca="false">AS94*AR94</f>
        <v>0</v>
      </c>
      <c r="AU94" s="23" t="str">
        <f aca="true">IF(AL94="","",TODAY()-AL94)</f>
        <v/>
      </c>
      <c r="AV94" s="23" t="str">
        <f aca="true">IF(AM94="","",IF(AND(AM94&lt;TODAY(),$AF94&lt;&gt;"Customer",$AF94&lt;&gt;"Lost",$AF94&lt;&gt;"Not a fit"),"OVERDUE",""))</f>
        <v/>
      </c>
      <c r="AW94" s="23" t="str">
        <f aca="false">IF(AV94="OVERDUE","RED",IF($AF94="Not started","—",IF($AF94="Customer","GREEN",IF(OR($AF94="Lost",$AF94="Not a fit"),"CLOSED","AMBER"))))</f>
        <v>—</v>
      </c>
    </row>
    <row r="95" customFormat="false" ht="48" hidden="false" customHeight="true" outlineLevel="0" collapsed="false">
      <c r="A95" s="23" t="n">
        <v>94</v>
      </c>
      <c r="B95" s="34" t="s">
        <v>454</v>
      </c>
      <c r="C95" s="23" t="str">
        <f aca="false">IF(OR(B95="A",B95="B"),"Yes","No")</f>
        <v>No</v>
      </c>
      <c r="D95" s="23"/>
      <c r="E95" s="23" t="s">
        <v>618</v>
      </c>
      <c r="F95" s="23" t="s">
        <v>619</v>
      </c>
      <c r="G95" s="23" t="s">
        <v>620</v>
      </c>
      <c r="H95" s="23"/>
      <c r="I95" s="4"/>
      <c r="J95" s="23" t="s">
        <v>133</v>
      </c>
      <c r="K95" s="23" t="s">
        <v>200</v>
      </c>
      <c r="L95" s="23" t="s">
        <v>134</v>
      </c>
      <c r="M95" s="25" t="n">
        <v>55.6</v>
      </c>
      <c r="N95" s="23" t="s">
        <v>422</v>
      </c>
      <c r="O95" s="23" t="s">
        <v>136</v>
      </c>
      <c r="P95" s="4" t="s">
        <v>462</v>
      </c>
      <c r="Q95" s="4" t="s">
        <v>155</v>
      </c>
      <c r="R95" s="4" t="s">
        <v>463</v>
      </c>
      <c r="S95" s="4"/>
      <c r="T95" s="4"/>
      <c r="U95" s="4"/>
      <c r="V95" s="23"/>
      <c r="W95" s="23"/>
      <c r="X95" s="23"/>
      <c r="Y95" s="23"/>
      <c r="Z95" s="23"/>
      <c r="AA95" s="23"/>
      <c r="AB95" s="23"/>
      <c r="AC95" s="4" t="s">
        <v>621</v>
      </c>
      <c r="AD95" s="26" t="n">
        <f aca="false">COUNTA(V95:AA95)</f>
        <v>0</v>
      </c>
      <c r="AE95" s="27"/>
      <c r="AF95" s="27" t="s">
        <v>34</v>
      </c>
      <c r="AG95" s="28"/>
      <c r="AH95" s="27"/>
      <c r="AI95" s="27"/>
      <c r="AJ95" s="27"/>
      <c r="AK95" s="27"/>
      <c r="AL95" s="28"/>
      <c r="AM95" s="28"/>
      <c r="AN95" s="29"/>
      <c r="AO95" s="4" t="str">
        <f aca="false">IFERROR(INDEX(Playbook!$C$4:$C$17,MATCH($AF95,Playbook!$A$4:$A$17,0)),"")</f>
        <v>Read the row: tier, segment, trigger, reason we lose them. Check contact coverage; if 0, enrich before anything else.</v>
      </c>
      <c r="AP95" s="23" t="str">
        <f aca="false">IFERROR(INDEX(Playbook!$D$4:$D$17,MATCH($AF95,Playbook!$A$4:$A$17,0)),"")</f>
        <v>—</v>
      </c>
      <c r="AQ95" s="4" t="str">
        <f aca="false">IFERROR(INDEX(Playbook!$E$4:$E$17,MATCH($AF95,Playbook!$A$4:$A$17,0)),"")</f>
        <v>Row read and a contact channel exists</v>
      </c>
      <c r="AR95" s="30" t="n">
        <f aca="false">IFERROR(INDEX(Playbook!$G$4:$G$17,MATCH($AF95,Playbook!$A$4:$A$17,0)),0)</f>
        <v>0</v>
      </c>
      <c r="AS95" s="31" t="n">
        <f aca="false">IFERROR(INDEX('Pricing &amp; Pilot'!$D$4:$D$6,MATCH($D95,'Pricing &amp; Pilot'!$A$4:$A$6,0)),0)</f>
        <v>0</v>
      </c>
      <c r="AT95" s="31" t="n">
        <f aca="false">AS95*AR95</f>
        <v>0</v>
      </c>
      <c r="AU95" s="23" t="str">
        <f aca="true">IF(AL95="","",TODAY()-AL95)</f>
        <v/>
      </c>
      <c r="AV95" s="23" t="str">
        <f aca="true">IF(AM95="","",IF(AND(AM95&lt;TODAY(),$AF95&lt;&gt;"Customer",$AF95&lt;&gt;"Lost",$AF95&lt;&gt;"Not a fit"),"OVERDUE",""))</f>
        <v/>
      </c>
      <c r="AW95" s="23" t="str">
        <f aca="false">IF(AV95="OVERDUE","RED",IF($AF95="Not started","—",IF($AF95="Customer","GREEN",IF(OR($AF95="Lost",$AF95="Not a fit"),"CLOSED","AMBER"))))</f>
        <v>—</v>
      </c>
    </row>
    <row r="96" customFormat="false" ht="48" hidden="false" customHeight="true" outlineLevel="0" collapsed="false">
      <c r="A96" s="23" t="n">
        <v>95</v>
      </c>
      <c r="B96" s="34" t="s">
        <v>454</v>
      </c>
      <c r="C96" s="23" t="str">
        <f aca="false">IF(OR(B96="A",B96="B"),"Yes","No")</f>
        <v>No</v>
      </c>
      <c r="D96" s="23"/>
      <c r="E96" s="23" t="s">
        <v>622</v>
      </c>
      <c r="F96" s="23" t="s">
        <v>623</v>
      </c>
      <c r="G96" s="23"/>
      <c r="H96" s="23"/>
      <c r="I96" s="4"/>
      <c r="J96" s="23" t="s">
        <v>133</v>
      </c>
      <c r="K96" s="23" t="s">
        <v>134</v>
      </c>
      <c r="L96" s="23" t="s">
        <v>134</v>
      </c>
      <c r="M96" s="25" t="n">
        <v>55.6</v>
      </c>
      <c r="N96" s="23" t="s">
        <v>422</v>
      </c>
      <c r="O96" s="23" t="s">
        <v>136</v>
      </c>
      <c r="P96" s="4" t="s">
        <v>462</v>
      </c>
      <c r="Q96" s="4" t="s">
        <v>155</v>
      </c>
      <c r="R96" s="4" t="s">
        <v>463</v>
      </c>
      <c r="S96" s="4"/>
      <c r="T96" s="4"/>
      <c r="U96" s="4"/>
      <c r="V96" s="23"/>
      <c r="W96" s="23"/>
      <c r="X96" s="23" t="s">
        <v>624</v>
      </c>
      <c r="Y96" s="23"/>
      <c r="Z96" s="23"/>
      <c r="AA96" s="23"/>
      <c r="AB96" s="23"/>
      <c r="AC96" s="4" t="s">
        <v>625</v>
      </c>
      <c r="AD96" s="26" t="n">
        <f aca="false">COUNTA(V96:AA96)</f>
        <v>1</v>
      </c>
      <c r="AE96" s="27"/>
      <c r="AF96" s="27" t="s">
        <v>34</v>
      </c>
      <c r="AG96" s="28"/>
      <c r="AH96" s="27"/>
      <c r="AI96" s="27"/>
      <c r="AJ96" s="27"/>
      <c r="AK96" s="27"/>
      <c r="AL96" s="28"/>
      <c r="AM96" s="28"/>
      <c r="AN96" s="29"/>
      <c r="AO96" s="4" t="str">
        <f aca="false">IFERROR(INDEX(Playbook!$C$4:$C$17,MATCH($AF96,Playbook!$A$4:$A$17,0)),"")</f>
        <v>Read the row: tier, segment, trigger, reason we lose them. Check contact coverage; if 0, enrich before anything else.</v>
      </c>
      <c r="AP96" s="23" t="str">
        <f aca="false">IFERROR(INDEX(Playbook!$D$4:$D$17,MATCH($AF96,Playbook!$A$4:$A$17,0)),"")</f>
        <v>—</v>
      </c>
      <c r="AQ96" s="4" t="str">
        <f aca="false">IFERROR(INDEX(Playbook!$E$4:$E$17,MATCH($AF96,Playbook!$A$4:$A$17,0)),"")</f>
        <v>Row read and a contact channel exists</v>
      </c>
      <c r="AR96" s="30" t="n">
        <f aca="false">IFERROR(INDEX(Playbook!$G$4:$G$17,MATCH($AF96,Playbook!$A$4:$A$17,0)),0)</f>
        <v>0</v>
      </c>
      <c r="AS96" s="31" t="n">
        <f aca="false">IFERROR(INDEX('Pricing &amp; Pilot'!$D$4:$D$6,MATCH($D96,'Pricing &amp; Pilot'!$A$4:$A$6,0)),0)</f>
        <v>0</v>
      </c>
      <c r="AT96" s="31" t="n">
        <f aca="false">AS96*AR96</f>
        <v>0</v>
      </c>
      <c r="AU96" s="23" t="str">
        <f aca="true">IF(AL96="","",TODAY()-AL96)</f>
        <v/>
      </c>
      <c r="AV96" s="23" t="str">
        <f aca="true">IF(AM96="","",IF(AND(AM96&lt;TODAY(),$AF96&lt;&gt;"Customer",$AF96&lt;&gt;"Lost",$AF96&lt;&gt;"Not a fit"),"OVERDUE",""))</f>
        <v/>
      </c>
      <c r="AW96" s="23" t="str">
        <f aca="false">IF(AV96="OVERDUE","RED",IF($AF96="Not started","—",IF($AF96="Customer","GREEN",IF(OR($AF96="Lost",$AF96="Not a fit"),"CLOSED","AMBER"))))</f>
        <v>—</v>
      </c>
    </row>
    <row r="97" customFormat="false" ht="48" hidden="false" customHeight="true" outlineLevel="0" collapsed="false">
      <c r="A97" s="23" t="n">
        <v>96</v>
      </c>
      <c r="B97" s="34" t="s">
        <v>454</v>
      </c>
      <c r="C97" s="23" t="str">
        <f aca="false">IF(OR(B97="A",B97="B"),"Yes","No")</f>
        <v>No</v>
      </c>
      <c r="D97" s="23"/>
      <c r="E97" s="23" t="s">
        <v>626</v>
      </c>
      <c r="F97" s="23" t="s">
        <v>627</v>
      </c>
      <c r="G97" s="23"/>
      <c r="H97" s="23"/>
      <c r="I97" s="4"/>
      <c r="J97" s="23" t="s">
        <v>133</v>
      </c>
      <c r="K97" s="23" t="s">
        <v>134</v>
      </c>
      <c r="L97" s="23" t="s">
        <v>134</v>
      </c>
      <c r="M97" s="25" t="n">
        <v>55.6</v>
      </c>
      <c r="N97" s="23" t="s">
        <v>422</v>
      </c>
      <c r="O97" s="23" t="s">
        <v>136</v>
      </c>
      <c r="P97" s="4" t="s">
        <v>462</v>
      </c>
      <c r="Q97" s="4" t="s">
        <v>155</v>
      </c>
      <c r="R97" s="4" t="s">
        <v>463</v>
      </c>
      <c r="S97" s="4"/>
      <c r="T97" s="4"/>
      <c r="U97" s="4"/>
      <c r="V97" s="23"/>
      <c r="W97" s="23"/>
      <c r="X97" s="23"/>
      <c r="Y97" s="23"/>
      <c r="Z97" s="23"/>
      <c r="AA97" s="23"/>
      <c r="AB97" s="23"/>
      <c r="AC97" s="4" t="s">
        <v>628</v>
      </c>
      <c r="AD97" s="26" t="n">
        <f aca="false">COUNTA(V97:AA97)</f>
        <v>0</v>
      </c>
      <c r="AE97" s="27"/>
      <c r="AF97" s="27" t="s">
        <v>34</v>
      </c>
      <c r="AG97" s="28"/>
      <c r="AH97" s="27"/>
      <c r="AI97" s="27"/>
      <c r="AJ97" s="27"/>
      <c r="AK97" s="27"/>
      <c r="AL97" s="28"/>
      <c r="AM97" s="28"/>
      <c r="AN97" s="29"/>
      <c r="AO97" s="4" t="str">
        <f aca="false">IFERROR(INDEX(Playbook!$C$4:$C$17,MATCH($AF97,Playbook!$A$4:$A$17,0)),"")</f>
        <v>Read the row: tier, segment, trigger, reason we lose them. Check contact coverage; if 0, enrich before anything else.</v>
      </c>
      <c r="AP97" s="23" t="str">
        <f aca="false">IFERROR(INDEX(Playbook!$D$4:$D$17,MATCH($AF97,Playbook!$A$4:$A$17,0)),"")</f>
        <v>—</v>
      </c>
      <c r="AQ97" s="4" t="str">
        <f aca="false">IFERROR(INDEX(Playbook!$E$4:$E$17,MATCH($AF97,Playbook!$A$4:$A$17,0)),"")</f>
        <v>Row read and a contact channel exists</v>
      </c>
      <c r="AR97" s="30" t="n">
        <f aca="false">IFERROR(INDEX(Playbook!$G$4:$G$17,MATCH($AF97,Playbook!$A$4:$A$17,0)),0)</f>
        <v>0</v>
      </c>
      <c r="AS97" s="31" t="n">
        <f aca="false">IFERROR(INDEX('Pricing &amp; Pilot'!$D$4:$D$6,MATCH($D97,'Pricing &amp; Pilot'!$A$4:$A$6,0)),0)</f>
        <v>0</v>
      </c>
      <c r="AT97" s="31" t="n">
        <f aca="false">AS97*AR97</f>
        <v>0</v>
      </c>
      <c r="AU97" s="23" t="str">
        <f aca="true">IF(AL97="","",TODAY()-AL97)</f>
        <v/>
      </c>
      <c r="AV97" s="23" t="str">
        <f aca="true">IF(AM97="","",IF(AND(AM97&lt;TODAY(),$AF97&lt;&gt;"Customer",$AF97&lt;&gt;"Lost",$AF97&lt;&gt;"Not a fit"),"OVERDUE",""))</f>
        <v/>
      </c>
      <c r="AW97" s="23" t="str">
        <f aca="false">IF(AV97="OVERDUE","RED",IF($AF97="Not started","—",IF($AF97="Customer","GREEN",IF(OR($AF97="Lost",$AF97="Not a fit"),"CLOSED","AMBER"))))</f>
        <v>—</v>
      </c>
    </row>
    <row r="98" customFormat="false" ht="48" hidden="false" customHeight="true" outlineLevel="0" collapsed="false">
      <c r="A98" s="23" t="n">
        <v>97</v>
      </c>
      <c r="B98" s="34" t="s">
        <v>454</v>
      </c>
      <c r="C98" s="23" t="str">
        <f aca="false">IF(OR(B98="A",B98="B"),"Yes","No")</f>
        <v>No</v>
      </c>
      <c r="D98" s="23"/>
      <c r="E98" s="23" t="s">
        <v>629</v>
      </c>
      <c r="F98" s="23" t="s">
        <v>630</v>
      </c>
      <c r="G98" s="23" t="s">
        <v>631</v>
      </c>
      <c r="H98" s="23"/>
      <c r="I98" s="4"/>
      <c r="J98" s="23" t="s">
        <v>133</v>
      </c>
      <c r="K98" s="23" t="s">
        <v>134</v>
      </c>
      <c r="L98" s="23" t="s">
        <v>134</v>
      </c>
      <c r="M98" s="25" t="n">
        <v>55.6</v>
      </c>
      <c r="N98" s="23" t="s">
        <v>422</v>
      </c>
      <c r="O98" s="23" t="s">
        <v>136</v>
      </c>
      <c r="P98" s="4" t="s">
        <v>462</v>
      </c>
      <c r="Q98" s="4" t="s">
        <v>155</v>
      </c>
      <c r="R98" s="4" t="s">
        <v>463</v>
      </c>
      <c r="S98" s="4"/>
      <c r="T98" s="4"/>
      <c r="U98" s="4"/>
      <c r="V98" s="23" t="s">
        <v>632</v>
      </c>
      <c r="W98" s="23"/>
      <c r="X98" s="23" t="s">
        <v>633</v>
      </c>
      <c r="Y98" s="23"/>
      <c r="Z98" s="23"/>
      <c r="AA98" s="23"/>
      <c r="AB98" s="23"/>
      <c r="AC98" s="4" t="s">
        <v>634</v>
      </c>
      <c r="AD98" s="26" t="n">
        <f aca="false">COUNTA(V98:AA98)</f>
        <v>2</v>
      </c>
      <c r="AE98" s="27"/>
      <c r="AF98" s="27" t="s">
        <v>34</v>
      </c>
      <c r="AG98" s="28"/>
      <c r="AH98" s="27"/>
      <c r="AI98" s="27"/>
      <c r="AJ98" s="27"/>
      <c r="AK98" s="27"/>
      <c r="AL98" s="28"/>
      <c r="AM98" s="28"/>
      <c r="AN98" s="29"/>
      <c r="AO98" s="4" t="str">
        <f aca="false">IFERROR(INDEX(Playbook!$C$4:$C$17,MATCH($AF98,Playbook!$A$4:$A$17,0)),"")</f>
        <v>Read the row: tier, segment, trigger, reason we lose them. Check contact coverage; if 0, enrich before anything else.</v>
      </c>
      <c r="AP98" s="23" t="str">
        <f aca="false">IFERROR(INDEX(Playbook!$D$4:$D$17,MATCH($AF98,Playbook!$A$4:$A$17,0)),"")</f>
        <v>—</v>
      </c>
      <c r="AQ98" s="4" t="str">
        <f aca="false">IFERROR(INDEX(Playbook!$E$4:$E$17,MATCH($AF98,Playbook!$A$4:$A$17,0)),"")</f>
        <v>Row read and a contact channel exists</v>
      </c>
      <c r="AR98" s="30" t="n">
        <f aca="false">IFERROR(INDEX(Playbook!$G$4:$G$17,MATCH($AF98,Playbook!$A$4:$A$17,0)),0)</f>
        <v>0</v>
      </c>
      <c r="AS98" s="31" t="n">
        <f aca="false">IFERROR(INDEX('Pricing &amp; Pilot'!$D$4:$D$6,MATCH($D98,'Pricing &amp; Pilot'!$A$4:$A$6,0)),0)</f>
        <v>0</v>
      </c>
      <c r="AT98" s="31" t="n">
        <f aca="false">AS98*AR98</f>
        <v>0</v>
      </c>
      <c r="AU98" s="23" t="str">
        <f aca="true">IF(AL98="","",TODAY()-AL98)</f>
        <v/>
      </c>
      <c r="AV98" s="23" t="str">
        <f aca="true">IF(AM98="","",IF(AND(AM98&lt;TODAY(),$AF98&lt;&gt;"Customer",$AF98&lt;&gt;"Lost",$AF98&lt;&gt;"Not a fit"),"OVERDUE",""))</f>
        <v/>
      </c>
      <c r="AW98" s="23" t="str">
        <f aca="false">IF(AV98="OVERDUE","RED",IF($AF98="Not started","—",IF($AF98="Customer","GREEN",IF(OR($AF98="Lost",$AF98="Not a fit"),"CLOSED","AMBER"))))</f>
        <v>—</v>
      </c>
    </row>
    <row r="99" customFormat="false" ht="48" hidden="false" customHeight="true" outlineLevel="0" collapsed="false">
      <c r="A99" s="23" t="n">
        <v>98</v>
      </c>
      <c r="B99" s="34" t="s">
        <v>454</v>
      </c>
      <c r="C99" s="23" t="str">
        <f aca="false">IF(OR(B99="A",B99="B"),"Yes","No")</f>
        <v>No</v>
      </c>
      <c r="D99" s="23"/>
      <c r="E99" s="23" t="s">
        <v>635</v>
      </c>
      <c r="F99" s="23" t="s">
        <v>636</v>
      </c>
      <c r="G99" s="23"/>
      <c r="H99" s="23"/>
      <c r="I99" s="4"/>
      <c r="J99" s="23" t="s">
        <v>133</v>
      </c>
      <c r="K99" s="23" t="s">
        <v>134</v>
      </c>
      <c r="L99" s="23" t="s">
        <v>134</v>
      </c>
      <c r="M99" s="25" t="n">
        <v>55.6</v>
      </c>
      <c r="N99" s="23" t="s">
        <v>422</v>
      </c>
      <c r="O99" s="23" t="s">
        <v>136</v>
      </c>
      <c r="P99" s="4" t="s">
        <v>462</v>
      </c>
      <c r="Q99" s="4" t="s">
        <v>155</v>
      </c>
      <c r="R99" s="4" t="s">
        <v>463</v>
      </c>
      <c r="S99" s="4"/>
      <c r="T99" s="4"/>
      <c r="U99" s="4"/>
      <c r="V99" s="23"/>
      <c r="W99" s="23"/>
      <c r="X99" s="23"/>
      <c r="Y99" s="23"/>
      <c r="Z99" s="23"/>
      <c r="AA99" s="23"/>
      <c r="AB99" s="23"/>
      <c r="AC99" s="4" t="s">
        <v>637</v>
      </c>
      <c r="AD99" s="26" t="n">
        <f aca="false">COUNTA(V99:AA99)</f>
        <v>0</v>
      </c>
      <c r="AE99" s="27"/>
      <c r="AF99" s="27" t="s">
        <v>34</v>
      </c>
      <c r="AG99" s="28"/>
      <c r="AH99" s="27"/>
      <c r="AI99" s="27"/>
      <c r="AJ99" s="27"/>
      <c r="AK99" s="27"/>
      <c r="AL99" s="28"/>
      <c r="AM99" s="28"/>
      <c r="AN99" s="29"/>
      <c r="AO99" s="4" t="str">
        <f aca="false">IFERROR(INDEX(Playbook!$C$4:$C$17,MATCH($AF99,Playbook!$A$4:$A$17,0)),"")</f>
        <v>Read the row: tier, segment, trigger, reason we lose them. Check contact coverage; if 0, enrich before anything else.</v>
      </c>
      <c r="AP99" s="23" t="str">
        <f aca="false">IFERROR(INDEX(Playbook!$D$4:$D$17,MATCH($AF99,Playbook!$A$4:$A$17,0)),"")</f>
        <v>—</v>
      </c>
      <c r="AQ99" s="4" t="str">
        <f aca="false">IFERROR(INDEX(Playbook!$E$4:$E$17,MATCH($AF99,Playbook!$A$4:$A$17,0)),"")</f>
        <v>Row read and a contact channel exists</v>
      </c>
      <c r="AR99" s="30" t="n">
        <f aca="false">IFERROR(INDEX(Playbook!$G$4:$G$17,MATCH($AF99,Playbook!$A$4:$A$17,0)),0)</f>
        <v>0</v>
      </c>
      <c r="AS99" s="31" t="n">
        <f aca="false">IFERROR(INDEX('Pricing &amp; Pilot'!$D$4:$D$6,MATCH($D99,'Pricing &amp; Pilot'!$A$4:$A$6,0)),0)</f>
        <v>0</v>
      </c>
      <c r="AT99" s="31" t="n">
        <f aca="false">AS99*AR99</f>
        <v>0</v>
      </c>
      <c r="AU99" s="23" t="str">
        <f aca="true">IF(AL99="","",TODAY()-AL99)</f>
        <v/>
      </c>
      <c r="AV99" s="23" t="str">
        <f aca="true">IF(AM99="","",IF(AND(AM99&lt;TODAY(),$AF99&lt;&gt;"Customer",$AF99&lt;&gt;"Lost",$AF99&lt;&gt;"Not a fit"),"OVERDUE",""))</f>
        <v/>
      </c>
      <c r="AW99" s="23" t="str">
        <f aca="false">IF(AV99="OVERDUE","RED",IF($AF99="Not started","—",IF($AF99="Customer","GREEN",IF(OR($AF99="Lost",$AF99="Not a fit"),"CLOSED","AMBER"))))</f>
        <v>—</v>
      </c>
    </row>
    <row r="100" customFormat="false" ht="48" hidden="false" customHeight="true" outlineLevel="0" collapsed="false">
      <c r="A100" s="23" t="n">
        <v>99</v>
      </c>
      <c r="B100" s="34" t="s">
        <v>454</v>
      </c>
      <c r="C100" s="23" t="str">
        <f aca="false">IF(OR(B100="A",B100="B"),"Yes","No")</f>
        <v>No</v>
      </c>
      <c r="D100" s="23"/>
      <c r="E100" s="23" t="s">
        <v>638</v>
      </c>
      <c r="F100" s="23" t="s">
        <v>639</v>
      </c>
      <c r="G100" s="23"/>
      <c r="H100" s="23"/>
      <c r="I100" s="4"/>
      <c r="J100" s="23" t="s">
        <v>133</v>
      </c>
      <c r="K100" s="23" t="s">
        <v>134</v>
      </c>
      <c r="L100" s="23" t="s">
        <v>134</v>
      </c>
      <c r="M100" s="25" t="n">
        <v>55.6</v>
      </c>
      <c r="N100" s="23" t="s">
        <v>422</v>
      </c>
      <c r="O100" s="23" t="s">
        <v>136</v>
      </c>
      <c r="P100" s="4" t="s">
        <v>462</v>
      </c>
      <c r="Q100" s="4" t="s">
        <v>155</v>
      </c>
      <c r="R100" s="4" t="s">
        <v>463</v>
      </c>
      <c r="S100" s="4"/>
      <c r="T100" s="4"/>
      <c r="U100" s="4"/>
      <c r="V100" s="23"/>
      <c r="W100" s="23"/>
      <c r="X100" s="23"/>
      <c r="Y100" s="23"/>
      <c r="Z100" s="23"/>
      <c r="AA100" s="23"/>
      <c r="AB100" s="23"/>
      <c r="AC100" s="4" t="s">
        <v>640</v>
      </c>
      <c r="AD100" s="26" t="n">
        <f aca="false">COUNTA(V100:AA100)</f>
        <v>0</v>
      </c>
      <c r="AE100" s="27"/>
      <c r="AF100" s="27" t="s">
        <v>34</v>
      </c>
      <c r="AG100" s="28"/>
      <c r="AH100" s="27"/>
      <c r="AI100" s="27"/>
      <c r="AJ100" s="27"/>
      <c r="AK100" s="27"/>
      <c r="AL100" s="28"/>
      <c r="AM100" s="28"/>
      <c r="AN100" s="29"/>
      <c r="AO100" s="4" t="str">
        <f aca="false">IFERROR(INDEX(Playbook!$C$4:$C$17,MATCH($AF100,Playbook!$A$4:$A$17,0)),"")</f>
        <v>Read the row: tier, segment, trigger, reason we lose them. Check contact coverage; if 0, enrich before anything else.</v>
      </c>
      <c r="AP100" s="23" t="str">
        <f aca="false">IFERROR(INDEX(Playbook!$D$4:$D$17,MATCH($AF100,Playbook!$A$4:$A$17,0)),"")</f>
        <v>—</v>
      </c>
      <c r="AQ100" s="4" t="str">
        <f aca="false">IFERROR(INDEX(Playbook!$E$4:$E$17,MATCH($AF100,Playbook!$A$4:$A$17,0)),"")</f>
        <v>Row read and a contact channel exists</v>
      </c>
      <c r="AR100" s="30" t="n">
        <f aca="false">IFERROR(INDEX(Playbook!$G$4:$G$17,MATCH($AF100,Playbook!$A$4:$A$17,0)),0)</f>
        <v>0</v>
      </c>
      <c r="AS100" s="31" t="n">
        <f aca="false">IFERROR(INDEX('Pricing &amp; Pilot'!$D$4:$D$6,MATCH($D100,'Pricing &amp; Pilot'!$A$4:$A$6,0)),0)</f>
        <v>0</v>
      </c>
      <c r="AT100" s="31" t="n">
        <f aca="false">AS100*AR100</f>
        <v>0</v>
      </c>
      <c r="AU100" s="23" t="str">
        <f aca="true">IF(AL100="","",TODAY()-AL100)</f>
        <v/>
      </c>
      <c r="AV100" s="23" t="str">
        <f aca="true">IF(AM100="","",IF(AND(AM100&lt;TODAY(),$AF100&lt;&gt;"Customer",$AF100&lt;&gt;"Lost",$AF100&lt;&gt;"Not a fit"),"OVERDUE",""))</f>
        <v/>
      </c>
      <c r="AW100" s="23" t="str">
        <f aca="false">IF(AV100="OVERDUE","RED",IF($AF100="Not started","—",IF($AF100="Customer","GREEN",IF(OR($AF100="Lost",$AF100="Not a fit"),"CLOSED","AMBER"))))</f>
        <v>—</v>
      </c>
    </row>
    <row r="101" customFormat="false" ht="48" hidden="false" customHeight="true" outlineLevel="0" collapsed="false">
      <c r="A101" s="23" t="n">
        <v>100</v>
      </c>
      <c r="B101" s="34" t="s">
        <v>454</v>
      </c>
      <c r="C101" s="23" t="str">
        <f aca="false">IF(OR(B101="A",B101="B"),"Yes","No")</f>
        <v>No</v>
      </c>
      <c r="D101" s="23"/>
      <c r="E101" s="23" t="s">
        <v>641</v>
      </c>
      <c r="F101" s="23" t="s">
        <v>642</v>
      </c>
      <c r="G101" s="23" t="s">
        <v>643</v>
      </c>
      <c r="H101" s="23"/>
      <c r="I101" s="4"/>
      <c r="J101" s="23" t="s">
        <v>133</v>
      </c>
      <c r="K101" s="23" t="s">
        <v>274</v>
      </c>
      <c r="L101" s="23" t="s">
        <v>134</v>
      </c>
      <c r="M101" s="25" t="n">
        <v>55.6</v>
      </c>
      <c r="N101" s="23" t="s">
        <v>422</v>
      </c>
      <c r="O101" s="23" t="s">
        <v>136</v>
      </c>
      <c r="P101" s="4" t="s">
        <v>462</v>
      </c>
      <c r="Q101" s="4" t="s">
        <v>155</v>
      </c>
      <c r="R101" s="4" t="s">
        <v>463</v>
      </c>
      <c r="S101" s="4"/>
      <c r="T101" s="4"/>
      <c r="U101" s="4"/>
      <c r="V101" s="23"/>
      <c r="W101" s="23"/>
      <c r="X101" s="23"/>
      <c r="Y101" s="23"/>
      <c r="Z101" s="23"/>
      <c r="AA101" s="23"/>
      <c r="AB101" s="23"/>
      <c r="AC101" s="4" t="s">
        <v>644</v>
      </c>
      <c r="AD101" s="26" t="n">
        <f aca="false">COUNTA(V101:AA101)</f>
        <v>0</v>
      </c>
      <c r="AE101" s="27"/>
      <c r="AF101" s="27" t="s">
        <v>34</v>
      </c>
      <c r="AG101" s="28"/>
      <c r="AH101" s="27"/>
      <c r="AI101" s="27"/>
      <c r="AJ101" s="27"/>
      <c r="AK101" s="27"/>
      <c r="AL101" s="28"/>
      <c r="AM101" s="28"/>
      <c r="AN101" s="29"/>
      <c r="AO101" s="4" t="str">
        <f aca="false">IFERROR(INDEX(Playbook!$C$4:$C$17,MATCH($AF101,Playbook!$A$4:$A$17,0)),"")</f>
        <v>Read the row: tier, segment, trigger, reason we lose them. Check contact coverage; if 0, enrich before anything else.</v>
      </c>
      <c r="AP101" s="23" t="str">
        <f aca="false">IFERROR(INDEX(Playbook!$D$4:$D$17,MATCH($AF101,Playbook!$A$4:$A$17,0)),"")</f>
        <v>—</v>
      </c>
      <c r="AQ101" s="4" t="str">
        <f aca="false">IFERROR(INDEX(Playbook!$E$4:$E$17,MATCH($AF101,Playbook!$A$4:$A$17,0)),"")</f>
        <v>Row read and a contact channel exists</v>
      </c>
      <c r="AR101" s="30" t="n">
        <f aca="false">IFERROR(INDEX(Playbook!$G$4:$G$17,MATCH($AF101,Playbook!$A$4:$A$17,0)),0)</f>
        <v>0</v>
      </c>
      <c r="AS101" s="31" t="n">
        <f aca="false">IFERROR(INDEX('Pricing &amp; Pilot'!$D$4:$D$6,MATCH($D101,'Pricing &amp; Pilot'!$A$4:$A$6,0)),0)</f>
        <v>0</v>
      </c>
      <c r="AT101" s="31" t="n">
        <f aca="false">AS101*AR101</f>
        <v>0</v>
      </c>
      <c r="AU101" s="23" t="str">
        <f aca="true">IF(AL101="","",TODAY()-AL101)</f>
        <v/>
      </c>
      <c r="AV101" s="23" t="str">
        <f aca="true">IF(AM101="","",IF(AND(AM101&lt;TODAY(),$AF101&lt;&gt;"Customer",$AF101&lt;&gt;"Lost",$AF101&lt;&gt;"Not a fit"),"OVERDUE",""))</f>
        <v/>
      </c>
      <c r="AW101" s="23" t="str">
        <f aca="false">IF(AV101="OVERDUE","RED",IF($AF101="Not started","—",IF($AF101="Customer","GREEN",IF(OR($AF101="Lost",$AF101="Not a fit"),"CLOSED","AMBER"))))</f>
        <v>—</v>
      </c>
    </row>
    <row r="102" customFormat="false" ht="48" hidden="false" customHeight="true" outlineLevel="0" collapsed="false">
      <c r="A102" s="23" t="n">
        <v>101</v>
      </c>
      <c r="B102" s="34" t="s">
        <v>454</v>
      </c>
      <c r="C102" s="23" t="str">
        <f aca="false">IF(OR(B102="A",B102="B"),"Yes","No")</f>
        <v>No</v>
      </c>
      <c r="D102" s="23"/>
      <c r="E102" s="23" t="s">
        <v>645</v>
      </c>
      <c r="F102" s="23" t="s">
        <v>646</v>
      </c>
      <c r="G102" s="23"/>
      <c r="H102" s="23"/>
      <c r="I102" s="4"/>
      <c r="J102" s="23" t="s">
        <v>133</v>
      </c>
      <c r="K102" s="23" t="s">
        <v>134</v>
      </c>
      <c r="L102" s="23" t="s">
        <v>134</v>
      </c>
      <c r="M102" s="25" t="n">
        <v>55.6</v>
      </c>
      <c r="N102" s="23" t="s">
        <v>422</v>
      </c>
      <c r="O102" s="23" t="s">
        <v>136</v>
      </c>
      <c r="P102" s="4" t="s">
        <v>462</v>
      </c>
      <c r="Q102" s="4" t="s">
        <v>155</v>
      </c>
      <c r="R102" s="4" t="s">
        <v>463</v>
      </c>
      <c r="S102" s="4"/>
      <c r="T102" s="4"/>
      <c r="U102" s="4"/>
      <c r="V102" s="23"/>
      <c r="W102" s="23"/>
      <c r="X102" s="23"/>
      <c r="Y102" s="23"/>
      <c r="Z102" s="23"/>
      <c r="AA102" s="23"/>
      <c r="AB102" s="23"/>
      <c r="AC102" s="4" t="s">
        <v>647</v>
      </c>
      <c r="AD102" s="26" t="n">
        <f aca="false">COUNTA(V102:AA102)</f>
        <v>0</v>
      </c>
      <c r="AE102" s="27"/>
      <c r="AF102" s="27" t="s">
        <v>34</v>
      </c>
      <c r="AG102" s="28"/>
      <c r="AH102" s="27"/>
      <c r="AI102" s="27"/>
      <c r="AJ102" s="27"/>
      <c r="AK102" s="27"/>
      <c r="AL102" s="28"/>
      <c r="AM102" s="28"/>
      <c r="AN102" s="29"/>
      <c r="AO102" s="4" t="str">
        <f aca="false">IFERROR(INDEX(Playbook!$C$4:$C$17,MATCH($AF102,Playbook!$A$4:$A$17,0)),"")</f>
        <v>Read the row: tier, segment, trigger, reason we lose them. Check contact coverage; if 0, enrich before anything else.</v>
      </c>
      <c r="AP102" s="23" t="str">
        <f aca="false">IFERROR(INDEX(Playbook!$D$4:$D$17,MATCH($AF102,Playbook!$A$4:$A$17,0)),"")</f>
        <v>—</v>
      </c>
      <c r="AQ102" s="4" t="str">
        <f aca="false">IFERROR(INDEX(Playbook!$E$4:$E$17,MATCH($AF102,Playbook!$A$4:$A$17,0)),"")</f>
        <v>Row read and a contact channel exists</v>
      </c>
      <c r="AR102" s="30" t="n">
        <f aca="false">IFERROR(INDEX(Playbook!$G$4:$G$17,MATCH($AF102,Playbook!$A$4:$A$17,0)),0)</f>
        <v>0</v>
      </c>
      <c r="AS102" s="31" t="n">
        <f aca="false">IFERROR(INDEX('Pricing &amp; Pilot'!$D$4:$D$6,MATCH($D102,'Pricing &amp; Pilot'!$A$4:$A$6,0)),0)</f>
        <v>0</v>
      </c>
      <c r="AT102" s="31" t="n">
        <f aca="false">AS102*AR102</f>
        <v>0</v>
      </c>
      <c r="AU102" s="23" t="str">
        <f aca="true">IF(AL102="","",TODAY()-AL102)</f>
        <v/>
      </c>
      <c r="AV102" s="23" t="str">
        <f aca="true">IF(AM102="","",IF(AND(AM102&lt;TODAY(),$AF102&lt;&gt;"Customer",$AF102&lt;&gt;"Lost",$AF102&lt;&gt;"Not a fit"),"OVERDUE",""))</f>
        <v/>
      </c>
      <c r="AW102" s="23" t="str">
        <f aca="false">IF(AV102="OVERDUE","RED",IF($AF102="Not started","—",IF($AF102="Customer","GREEN",IF(OR($AF102="Lost",$AF102="Not a fit"),"CLOSED","AMBER"))))</f>
        <v>—</v>
      </c>
    </row>
    <row r="103" customFormat="false" ht="48" hidden="false" customHeight="true" outlineLevel="0" collapsed="false">
      <c r="A103" s="23" t="n">
        <v>102</v>
      </c>
      <c r="B103" s="34" t="s">
        <v>454</v>
      </c>
      <c r="C103" s="23" t="str">
        <f aca="false">IF(OR(B103="A",B103="B"),"Yes","No")</f>
        <v>No</v>
      </c>
      <c r="D103" s="23"/>
      <c r="E103" s="23" t="s">
        <v>648</v>
      </c>
      <c r="F103" s="23" t="s">
        <v>649</v>
      </c>
      <c r="G103" s="23"/>
      <c r="H103" s="23"/>
      <c r="I103" s="4"/>
      <c r="J103" s="23" t="s">
        <v>133</v>
      </c>
      <c r="K103" s="23" t="s">
        <v>134</v>
      </c>
      <c r="L103" s="23" t="s">
        <v>134</v>
      </c>
      <c r="M103" s="25" t="n">
        <v>55.6</v>
      </c>
      <c r="N103" s="23" t="s">
        <v>422</v>
      </c>
      <c r="O103" s="23" t="s">
        <v>136</v>
      </c>
      <c r="P103" s="4" t="s">
        <v>462</v>
      </c>
      <c r="Q103" s="4" t="s">
        <v>155</v>
      </c>
      <c r="R103" s="4" t="s">
        <v>463</v>
      </c>
      <c r="S103" s="4"/>
      <c r="T103" s="4"/>
      <c r="U103" s="4"/>
      <c r="V103" s="23"/>
      <c r="W103" s="23"/>
      <c r="X103" s="23"/>
      <c r="Y103" s="23"/>
      <c r="Z103" s="23"/>
      <c r="AA103" s="23"/>
      <c r="AB103" s="23"/>
      <c r="AC103" s="4" t="s">
        <v>650</v>
      </c>
      <c r="AD103" s="26" t="n">
        <f aca="false">COUNTA(V103:AA103)</f>
        <v>0</v>
      </c>
      <c r="AE103" s="27"/>
      <c r="AF103" s="27" t="s">
        <v>34</v>
      </c>
      <c r="AG103" s="28"/>
      <c r="AH103" s="27"/>
      <c r="AI103" s="27"/>
      <c r="AJ103" s="27"/>
      <c r="AK103" s="27"/>
      <c r="AL103" s="28"/>
      <c r="AM103" s="28"/>
      <c r="AN103" s="29"/>
      <c r="AO103" s="4" t="str">
        <f aca="false">IFERROR(INDEX(Playbook!$C$4:$C$17,MATCH($AF103,Playbook!$A$4:$A$17,0)),"")</f>
        <v>Read the row: tier, segment, trigger, reason we lose them. Check contact coverage; if 0, enrich before anything else.</v>
      </c>
      <c r="AP103" s="23" t="str">
        <f aca="false">IFERROR(INDEX(Playbook!$D$4:$D$17,MATCH($AF103,Playbook!$A$4:$A$17,0)),"")</f>
        <v>—</v>
      </c>
      <c r="AQ103" s="4" t="str">
        <f aca="false">IFERROR(INDEX(Playbook!$E$4:$E$17,MATCH($AF103,Playbook!$A$4:$A$17,0)),"")</f>
        <v>Row read and a contact channel exists</v>
      </c>
      <c r="AR103" s="30" t="n">
        <f aca="false">IFERROR(INDEX(Playbook!$G$4:$G$17,MATCH($AF103,Playbook!$A$4:$A$17,0)),0)</f>
        <v>0</v>
      </c>
      <c r="AS103" s="31" t="n">
        <f aca="false">IFERROR(INDEX('Pricing &amp; Pilot'!$D$4:$D$6,MATCH($D103,'Pricing &amp; Pilot'!$A$4:$A$6,0)),0)</f>
        <v>0</v>
      </c>
      <c r="AT103" s="31" t="n">
        <f aca="false">AS103*AR103</f>
        <v>0</v>
      </c>
      <c r="AU103" s="23" t="str">
        <f aca="true">IF(AL103="","",TODAY()-AL103)</f>
        <v/>
      </c>
      <c r="AV103" s="23" t="str">
        <f aca="true">IF(AM103="","",IF(AND(AM103&lt;TODAY(),$AF103&lt;&gt;"Customer",$AF103&lt;&gt;"Lost",$AF103&lt;&gt;"Not a fit"),"OVERDUE",""))</f>
        <v/>
      </c>
      <c r="AW103" s="23" t="str">
        <f aca="false">IF(AV103="OVERDUE","RED",IF($AF103="Not started","—",IF($AF103="Customer","GREEN",IF(OR($AF103="Lost",$AF103="Not a fit"),"CLOSED","AMBER"))))</f>
        <v>—</v>
      </c>
    </row>
    <row r="104" customFormat="false" ht="48" hidden="false" customHeight="true" outlineLevel="0" collapsed="false">
      <c r="A104" s="23" t="n">
        <v>103</v>
      </c>
      <c r="B104" s="34" t="s">
        <v>454</v>
      </c>
      <c r="C104" s="23" t="str">
        <f aca="false">IF(OR(B104="A",B104="B"),"Yes","No")</f>
        <v>No</v>
      </c>
      <c r="D104" s="23"/>
      <c r="E104" s="23" t="s">
        <v>651</v>
      </c>
      <c r="F104" s="23" t="s">
        <v>652</v>
      </c>
      <c r="G104" s="23"/>
      <c r="H104" s="23"/>
      <c r="I104" s="4"/>
      <c r="J104" s="23" t="s">
        <v>133</v>
      </c>
      <c r="K104" s="23" t="s">
        <v>134</v>
      </c>
      <c r="L104" s="23" t="s">
        <v>134</v>
      </c>
      <c r="M104" s="25" t="n">
        <v>55.6</v>
      </c>
      <c r="N104" s="23" t="s">
        <v>422</v>
      </c>
      <c r="O104" s="23" t="s">
        <v>136</v>
      </c>
      <c r="P104" s="4" t="s">
        <v>462</v>
      </c>
      <c r="Q104" s="4" t="s">
        <v>155</v>
      </c>
      <c r="R104" s="4" t="s">
        <v>463</v>
      </c>
      <c r="S104" s="4"/>
      <c r="T104" s="4"/>
      <c r="U104" s="4"/>
      <c r="V104" s="23"/>
      <c r="W104" s="23"/>
      <c r="X104" s="23"/>
      <c r="Y104" s="23"/>
      <c r="Z104" s="23"/>
      <c r="AA104" s="23"/>
      <c r="AB104" s="23"/>
      <c r="AC104" s="4" t="s">
        <v>653</v>
      </c>
      <c r="AD104" s="26" t="n">
        <f aca="false">COUNTA(V104:AA104)</f>
        <v>0</v>
      </c>
      <c r="AE104" s="27"/>
      <c r="AF104" s="27" t="s">
        <v>34</v>
      </c>
      <c r="AG104" s="28"/>
      <c r="AH104" s="27"/>
      <c r="AI104" s="27"/>
      <c r="AJ104" s="27"/>
      <c r="AK104" s="27"/>
      <c r="AL104" s="28"/>
      <c r="AM104" s="28"/>
      <c r="AN104" s="29"/>
      <c r="AO104" s="4" t="str">
        <f aca="false">IFERROR(INDEX(Playbook!$C$4:$C$17,MATCH($AF104,Playbook!$A$4:$A$17,0)),"")</f>
        <v>Read the row: tier, segment, trigger, reason we lose them. Check contact coverage; if 0, enrich before anything else.</v>
      </c>
      <c r="AP104" s="23" t="str">
        <f aca="false">IFERROR(INDEX(Playbook!$D$4:$D$17,MATCH($AF104,Playbook!$A$4:$A$17,0)),"")</f>
        <v>—</v>
      </c>
      <c r="AQ104" s="4" t="str">
        <f aca="false">IFERROR(INDEX(Playbook!$E$4:$E$17,MATCH($AF104,Playbook!$A$4:$A$17,0)),"")</f>
        <v>Row read and a contact channel exists</v>
      </c>
      <c r="AR104" s="30" t="n">
        <f aca="false">IFERROR(INDEX(Playbook!$G$4:$G$17,MATCH($AF104,Playbook!$A$4:$A$17,0)),0)</f>
        <v>0</v>
      </c>
      <c r="AS104" s="31" t="n">
        <f aca="false">IFERROR(INDEX('Pricing &amp; Pilot'!$D$4:$D$6,MATCH($D104,'Pricing &amp; Pilot'!$A$4:$A$6,0)),0)</f>
        <v>0</v>
      </c>
      <c r="AT104" s="31" t="n">
        <f aca="false">AS104*AR104</f>
        <v>0</v>
      </c>
      <c r="AU104" s="23" t="str">
        <f aca="true">IF(AL104="","",TODAY()-AL104)</f>
        <v/>
      </c>
      <c r="AV104" s="23" t="str">
        <f aca="true">IF(AM104="","",IF(AND(AM104&lt;TODAY(),$AF104&lt;&gt;"Customer",$AF104&lt;&gt;"Lost",$AF104&lt;&gt;"Not a fit"),"OVERDUE",""))</f>
        <v/>
      </c>
      <c r="AW104" s="23" t="str">
        <f aca="false">IF(AV104="OVERDUE","RED",IF($AF104="Not started","—",IF($AF104="Customer","GREEN",IF(OR($AF104="Lost",$AF104="Not a fit"),"CLOSED","AMBER"))))</f>
        <v>—</v>
      </c>
    </row>
    <row r="105" customFormat="false" ht="48" hidden="false" customHeight="true" outlineLevel="0" collapsed="false">
      <c r="A105" s="23" t="n">
        <v>104</v>
      </c>
      <c r="B105" s="34" t="s">
        <v>454</v>
      </c>
      <c r="C105" s="23" t="str">
        <f aca="false">IF(OR(B105="A",B105="B"),"Yes","No")</f>
        <v>No</v>
      </c>
      <c r="D105" s="23"/>
      <c r="E105" s="23" t="s">
        <v>654</v>
      </c>
      <c r="F105" s="23" t="s">
        <v>655</v>
      </c>
      <c r="G105" s="23"/>
      <c r="H105" s="23"/>
      <c r="I105" s="4"/>
      <c r="J105" s="23" t="s">
        <v>133</v>
      </c>
      <c r="K105" s="23" t="s">
        <v>134</v>
      </c>
      <c r="L105" s="23" t="s">
        <v>134</v>
      </c>
      <c r="M105" s="25" t="n">
        <v>55.6</v>
      </c>
      <c r="N105" s="23" t="s">
        <v>422</v>
      </c>
      <c r="O105" s="23" t="s">
        <v>136</v>
      </c>
      <c r="P105" s="4" t="s">
        <v>462</v>
      </c>
      <c r="Q105" s="4" t="s">
        <v>155</v>
      </c>
      <c r="R105" s="4" t="s">
        <v>463</v>
      </c>
      <c r="S105" s="4"/>
      <c r="T105" s="4"/>
      <c r="U105" s="4"/>
      <c r="V105" s="23"/>
      <c r="W105" s="23"/>
      <c r="X105" s="23"/>
      <c r="Y105" s="23"/>
      <c r="Z105" s="23"/>
      <c r="AA105" s="23"/>
      <c r="AB105" s="23"/>
      <c r="AC105" s="4" t="s">
        <v>656</v>
      </c>
      <c r="AD105" s="26" t="n">
        <f aca="false">COUNTA(V105:AA105)</f>
        <v>0</v>
      </c>
      <c r="AE105" s="27"/>
      <c r="AF105" s="27" t="s">
        <v>34</v>
      </c>
      <c r="AG105" s="28"/>
      <c r="AH105" s="27"/>
      <c r="AI105" s="27"/>
      <c r="AJ105" s="27"/>
      <c r="AK105" s="27"/>
      <c r="AL105" s="28"/>
      <c r="AM105" s="28"/>
      <c r="AN105" s="29"/>
      <c r="AO105" s="4" t="str">
        <f aca="false">IFERROR(INDEX(Playbook!$C$4:$C$17,MATCH($AF105,Playbook!$A$4:$A$17,0)),"")</f>
        <v>Read the row: tier, segment, trigger, reason we lose them. Check contact coverage; if 0, enrich before anything else.</v>
      </c>
      <c r="AP105" s="23" t="str">
        <f aca="false">IFERROR(INDEX(Playbook!$D$4:$D$17,MATCH($AF105,Playbook!$A$4:$A$17,0)),"")</f>
        <v>—</v>
      </c>
      <c r="AQ105" s="4" t="str">
        <f aca="false">IFERROR(INDEX(Playbook!$E$4:$E$17,MATCH($AF105,Playbook!$A$4:$A$17,0)),"")</f>
        <v>Row read and a contact channel exists</v>
      </c>
      <c r="AR105" s="30" t="n">
        <f aca="false">IFERROR(INDEX(Playbook!$G$4:$G$17,MATCH($AF105,Playbook!$A$4:$A$17,0)),0)</f>
        <v>0</v>
      </c>
      <c r="AS105" s="31" t="n">
        <f aca="false">IFERROR(INDEX('Pricing &amp; Pilot'!$D$4:$D$6,MATCH($D105,'Pricing &amp; Pilot'!$A$4:$A$6,0)),0)</f>
        <v>0</v>
      </c>
      <c r="AT105" s="31" t="n">
        <f aca="false">AS105*AR105</f>
        <v>0</v>
      </c>
      <c r="AU105" s="23" t="str">
        <f aca="true">IF(AL105="","",TODAY()-AL105)</f>
        <v/>
      </c>
      <c r="AV105" s="23" t="str">
        <f aca="true">IF(AM105="","",IF(AND(AM105&lt;TODAY(),$AF105&lt;&gt;"Customer",$AF105&lt;&gt;"Lost",$AF105&lt;&gt;"Not a fit"),"OVERDUE",""))</f>
        <v/>
      </c>
      <c r="AW105" s="23" t="str">
        <f aca="false">IF(AV105="OVERDUE","RED",IF($AF105="Not started","—",IF($AF105="Customer","GREEN",IF(OR($AF105="Lost",$AF105="Not a fit"),"CLOSED","AMBER"))))</f>
        <v>—</v>
      </c>
    </row>
    <row r="106" customFormat="false" ht="48" hidden="false" customHeight="true" outlineLevel="0" collapsed="false">
      <c r="A106" s="23" t="n">
        <v>105</v>
      </c>
      <c r="B106" s="34" t="s">
        <v>454</v>
      </c>
      <c r="C106" s="23" t="str">
        <f aca="false">IF(OR(B106="A",B106="B"),"Yes","No")</f>
        <v>No</v>
      </c>
      <c r="D106" s="23"/>
      <c r="E106" s="23" t="s">
        <v>657</v>
      </c>
      <c r="F106" s="23" t="s">
        <v>658</v>
      </c>
      <c r="G106" s="23"/>
      <c r="H106" s="23"/>
      <c r="I106" s="4"/>
      <c r="J106" s="23" t="s">
        <v>133</v>
      </c>
      <c r="K106" s="23" t="s">
        <v>265</v>
      </c>
      <c r="L106" s="23" t="s">
        <v>134</v>
      </c>
      <c r="M106" s="25" t="n">
        <v>55.6</v>
      </c>
      <c r="N106" s="23" t="s">
        <v>422</v>
      </c>
      <c r="O106" s="23" t="s">
        <v>136</v>
      </c>
      <c r="P106" s="4" t="s">
        <v>483</v>
      </c>
      <c r="Q106" s="4" t="s">
        <v>155</v>
      </c>
      <c r="R106" s="4" t="s">
        <v>463</v>
      </c>
      <c r="S106" s="4"/>
      <c r="T106" s="4"/>
      <c r="U106" s="4"/>
      <c r="V106" s="23"/>
      <c r="W106" s="23"/>
      <c r="X106" s="23"/>
      <c r="Y106" s="23"/>
      <c r="Z106" s="23"/>
      <c r="AA106" s="23"/>
      <c r="AB106" s="23"/>
      <c r="AC106" s="4" t="s">
        <v>659</v>
      </c>
      <c r="AD106" s="26" t="n">
        <f aca="false">COUNTA(V106:AA106)</f>
        <v>0</v>
      </c>
      <c r="AE106" s="27"/>
      <c r="AF106" s="27" t="s">
        <v>34</v>
      </c>
      <c r="AG106" s="28"/>
      <c r="AH106" s="27"/>
      <c r="AI106" s="27"/>
      <c r="AJ106" s="27"/>
      <c r="AK106" s="27"/>
      <c r="AL106" s="28"/>
      <c r="AM106" s="28"/>
      <c r="AN106" s="29"/>
      <c r="AO106" s="4" t="str">
        <f aca="false">IFERROR(INDEX(Playbook!$C$4:$C$17,MATCH($AF106,Playbook!$A$4:$A$17,0)),"")</f>
        <v>Read the row: tier, segment, trigger, reason we lose them. Check contact coverage; if 0, enrich before anything else.</v>
      </c>
      <c r="AP106" s="23" t="str">
        <f aca="false">IFERROR(INDEX(Playbook!$D$4:$D$17,MATCH($AF106,Playbook!$A$4:$A$17,0)),"")</f>
        <v>—</v>
      </c>
      <c r="AQ106" s="4" t="str">
        <f aca="false">IFERROR(INDEX(Playbook!$E$4:$E$17,MATCH($AF106,Playbook!$A$4:$A$17,0)),"")</f>
        <v>Row read and a contact channel exists</v>
      </c>
      <c r="AR106" s="30" t="n">
        <f aca="false">IFERROR(INDEX(Playbook!$G$4:$G$17,MATCH($AF106,Playbook!$A$4:$A$17,0)),0)</f>
        <v>0</v>
      </c>
      <c r="AS106" s="31" t="n">
        <f aca="false">IFERROR(INDEX('Pricing &amp; Pilot'!$D$4:$D$6,MATCH($D106,'Pricing &amp; Pilot'!$A$4:$A$6,0)),0)</f>
        <v>0</v>
      </c>
      <c r="AT106" s="31" t="n">
        <f aca="false">AS106*AR106</f>
        <v>0</v>
      </c>
      <c r="AU106" s="23" t="str">
        <f aca="true">IF(AL106="","",TODAY()-AL106)</f>
        <v/>
      </c>
      <c r="AV106" s="23" t="str">
        <f aca="true">IF(AM106="","",IF(AND(AM106&lt;TODAY(),$AF106&lt;&gt;"Customer",$AF106&lt;&gt;"Lost",$AF106&lt;&gt;"Not a fit"),"OVERDUE",""))</f>
        <v/>
      </c>
      <c r="AW106" s="23" t="str">
        <f aca="false">IF(AV106="OVERDUE","RED",IF($AF106="Not started","—",IF($AF106="Customer","GREEN",IF(OR($AF106="Lost",$AF106="Not a fit"),"CLOSED","AMBER"))))</f>
        <v>—</v>
      </c>
    </row>
    <row r="107" customFormat="false" ht="48" hidden="false" customHeight="true" outlineLevel="0" collapsed="false">
      <c r="A107" s="23" t="n">
        <v>106</v>
      </c>
      <c r="B107" s="34" t="s">
        <v>454</v>
      </c>
      <c r="C107" s="23" t="str">
        <f aca="false">IF(OR(B107="A",B107="B"),"Yes","No")</f>
        <v>No</v>
      </c>
      <c r="D107" s="23"/>
      <c r="E107" s="23" t="s">
        <v>660</v>
      </c>
      <c r="F107" s="23" t="s">
        <v>661</v>
      </c>
      <c r="G107" s="23"/>
      <c r="H107" s="23"/>
      <c r="I107" s="4"/>
      <c r="J107" s="23" t="s">
        <v>133</v>
      </c>
      <c r="K107" s="23" t="s">
        <v>200</v>
      </c>
      <c r="L107" s="23" t="s">
        <v>134</v>
      </c>
      <c r="M107" s="25" t="n">
        <v>55.6</v>
      </c>
      <c r="N107" s="23" t="s">
        <v>422</v>
      </c>
      <c r="O107" s="23" t="s">
        <v>136</v>
      </c>
      <c r="P107" s="4" t="s">
        <v>462</v>
      </c>
      <c r="Q107" s="4" t="s">
        <v>155</v>
      </c>
      <c r="R107" s="4" t="s">
        <v>463</v>
      </c>
      <c r="S107" s="4"/>
      <c r="T107" s="4"/>
      <c r="U107" s="4"/>
      <c r="V107" s="23"/>
      <c r="W107" s="23"/>
      <c r="X107" s="23"/>
      <c r="Y107" s="23"/>
      <c r="Z107" s="23"/>
      <c r="AA107" s="23"/>
      <c r="AB107" s="23"/>
      <c r="AC107" s="4" t="s">
        <v>662</v>
      </c>
      <c r="AD107" s="26" t="n">
        <f aca="false">COUNTA(V107:AA107)</f>
        <v>0</v>
      </c>
      <c r="AE107" s="27"/>
      <c r="AF107" s="27" t="s">
        <v>34</v>
      </c>
      <c r="AG107" s="28"/>
      <c r="AH107" s="27"/>
      <c r="AI107" s="27"/>
      <c r="AJ107" s="27"/>
      <c r="AK107" s="27"/>
      <c r="AL107" s="28"/>
      <c r="AM107" s="28"/>
      <c r="AN107" s="29"/>
      <c r="AO107" s="4" t="str">
        <f aca="false">IFERROR(INDEX(Playbook!$C$4:$C$17,MATCH($AF107,Playbook!$A$4:$A$17,0)),"")</f>
        <v>Read the row: tier, segment, trigger, reason we lose them. Check contact coverage; if 0, enrich before anything else.</v>
      </c>
      <c r="AP107" s="23" t="str">
        <f aca="false">IFERROR(INDEX(Playbook!$D$4:$D$17,MATCH($AF107,Playbook!$A$4:$A$17,0)),"")</f>
        <v>—</v>
      </c>
      <c r="AQ107" s="4" t="str">
        <f aca="false">IFERROR(INDEX(Playbook!$E$4:$E$17,MATCH($AF107,Playbook!$A$4:$A$17,0)),"")</f>
        <v>Row read and a contact channel exists</v>
      </c>
      <c r="AR107" s="30" t="n">
        <f aca="false">IFERROR(INDEX(Playbook!$G$4:$G$17,MATCH($AF107,Playbook!$A$4:$A$17,0)),0)</f>
        <v>0</v>
      </c>
      <c r="AS107" s="31" t="n">
        <f aca="false">IFERROR(INDEX('Pricing &amp; Pilot'!$D$4:$D$6,MATCH($D107,'Pricing &amp; Pilot'!$A$4:$A$6,0)),0)</f>
        <v>0</v>
      </c>
      <c r="AT107" s="31" t="n">
        <f aca="false">AS107*AR107</f>
        <v>0</v>
      </c>
      <c r="AU107" s="23" t="str">
        <f aca="true">IF(AL107="","",TODAY()-AL107)</f>
        <v/>
      </c>
      <c r="AV107" s="23" t="str">
        <f aca="true">IF(AM107="","",IF(AND(AM107&lt;TODAY(),$AF107&lt;&gt;"Customer",$AF107&lt;&gt;"Lost",$AF107&lt;&gt;"Not a fit"),"OVERDUE",""))</f>
        <v/>
      </c>
      <c r="AW107" s="23" t="str">
        <f aca="false">IF(AV107="OVERDUE","RED",IF($AF107="Not started","—",IF($AF107="Customer","GREEN",IF(OR($AF107="Lost",$AF107="Not a fit"),"CLOSED","AMBER"))))</f>
        <v>—</v>
      </c>
    </row>
    <row r="108" customFormat="false" ht="48" hidden="false" customHeight="true" outlineLevel="0" collapsed="false">
      <c r="A108" s="23" t="n">
        <v>107</v>
      </c>
      <c r="B108" s="34" t="s">
        <v>454</v>
      </c>
      <c r="C108" s="23" t="str">
        <f aca="false">IF(OR(B108="A",B108="B"),"Yes","No")</f>
        <v>No</v>
      </c>
      <c r="D108" s="23"/>
      <c r="E108" s="23" t="s">
        <v>663</v>
      </c>
      <c r="F108" s="23" t="s">
        <v>664</v>
      </c>
      <c r="G108" s="23"/>
      <c r="H108" s="23"/>
      <c r="I108" s="4"/>
      <c r="J108" s="23" t="s">
        <v>133</v>
      </c>
      <c r="K108" s="23" t="s">
        <v>134</v>
      </c>
      <c r="L108" s="23" t="s">
        <v>134</v>
      </c>
      <c r="M108" s="25" t="n">
        <v>55.6</v>
      </c>
      <c r="N108" s="23" t="s">
        <v>422</v>
      </c>
      <c r="O108" s="23" t="s">
        <v>136</v>
      </c>
      <c r="P108" s="4" t="s">
        <v>462</v>
      </c>
      <c r="Q108" s="4" t="s">
        <v>155</v>
      </c>
      <c r="R108" s="4" t="s">
        <v>463</v>
      </c>
      <c r="S108" s="4"/>
      <c r="T108" s="4"/>
      <c r="U108" s="4"/>
      <c r="V108" s="23"/>
      <c r="W108" s="23"/>
      <c r="X108" s="23"/>
      <c r="Y108" s="23"/>
      <c r="Z108" s="23"/>
      <c r="AA108" s="23"/>
      <c r="AB108" s="23"/>
      <c r="AC108" s="4" t="s">
        <v>665</v>
      </c>
      <c r="AD108" s="26" t="n">
        <f aca="false">COUNTA(V108:AA108)</f>
        <v>0</v>
      </c>
      <c r="AE108" s="27"/>
      <c r="AF108" s="27" t="s">
        <v>34</v>
      </c>
      <c r="AG108" s="28"/>
      <c r="AH108" s="27"/>
      <c r="AI108" s="27"/>
      <c r="AJ108" s="27"/>
      <c r="AK108" s="27"/>
      <c r="AL108" s="28"/>
      <c r="AM108" s="28"/>
      <c r="AN108" s="29"/>
      <c r="AO108" s="4" t="str">
        <f aca="false">IFERROR(INDEX(Playbook!$C$4:$C$17,MATCH($AF108,Playbook!$A$4:$A$17,0)),"")</f>
        <v>Read the row: tier, segment, trigger, reason we lose them. Check contact coverage; if 0, enrich before anything else.</v>
      </c>
      <c r="AP108" s="23" t="str">
        <f aca="false">IFERROR(INDEX(Playbook!$D$4:$D$17,MATCH($AF108,Playbook!$A$4:$A$17,0)),"")</f>
        <v>—</v>
      </c>
      <c r="AQ108" s="4" t="str">
        <f aca="false">IFERROR(INDEX(Playbook!$E$4:$E$17,MATCH($AF108,Playbook!$A$4:$A$17,0)),"")</f>
        <v>Row read and a contact channel exists</v>
      </c>
      <c r="AR108" s="30" t="n">
        <f aca="false">IFERROR(INDEX(Playbook!$G$4:$G$17,MATCH($AF108,Playbook!$A$4:$A$17,0)),0)</f>
        <v>0</v>
      </c>
      <c r="AS108" s="31" t="n">
        <f aca="false">IFERROR(INDEX('Pricing &amp; Pilot'!$D$4:$D$6,MATCH($D108,'Pricing &amp; Pilot'!$A$4:$A$6,0)),0)</f>
        <v>0</v>
      </c>
      <c r="AT108" s="31" t="n">
        <f aca="false">AS108*AR108</f>
        <v>0</v>
      </c>
      <c r="AU108" s="23" t="str">
        <f aca="true">IF(AL108="","",TODAY()-AL108)</f>
        <v/>
      </c>
      <c r="AV108" s="23" t="str">
        <f aca="true">IF(AM108="","",IF(AND(AM108&lt;TODAY(),$AF108&lt;&gt;"Customer",$AF108&lt;&gt;"Lost",$AF108&lt;&gt;"Not a fit"),"OVERDUE",""))</f>
        <v/>
      </c>
      <c r="AW108" s="23" t="str">
        <f aca="false">IF(AV108="OVERDUE","RED",IF($AF108="Not started","—",IF($AF108="Customer","GREEN",IF(OR($AF108="Lost",$AF108="Not a fit"),"CLOSED","AMBER"))))</f>
        <v>—</v>
      </c>
    </row>
    <row r="109" customFormat="false" ht="48" hidden="false" customHeight="true" outlineLevel="0" collapsed="false">
      <c r="A109" s="23" t="n">
        <v>108</v>
      </c>
      <c r="B109" s="34" t="s">
        <v>454</v>
      </c>
      <c r="C109" s="23" t="str">
        <f aca="false">IF(OR(B109="A",B109="B"),"Yes","No")</f>
        <v>No</v>
      </c>
      <c r="D109" s="23"/>
      <c r="E109" s="23" t="s">
        <v>666</v>
      </c>
      <c r="F109" s="23" t="s">
        <v>667</v>
      </c>
      <c r="G109" s="23"/>
      <c r="H109" s="23"/>
      <c r="I109" s="4"/>
      <c r="J109" s="23" t="s">
        <v>133</v>
      </c>
      <c r="K109" s="23" t="s">
        <v>134</v>
      </c>
      <c r="L109" s="23" t="s">
        <v>134</v>
      </c>
      <c r="M109" s="25" t="n">
        <v>55.6</v>
      </c>
      <c r="N109" s="23" t="s">
        <v>422</v>
      </c>
      <c r="O109" s="23" t="s">
        <v>136</v>
      </c>
      <c r="P109" s="4" t="s">
        <v>462</v>
      </c>
      <c r="Q109" s="4" t="s">
        <v>155</v>
      </c>
      <c r="R109" s="4" t="s">
        <v>463</v>
      </c>
      <c r="S109" s="4"/>
      <c r="T109" s="4"/>
      <c r="U109" s="4"/>
      <c r="V109" s="23"/>
      <c r="W109" s="23"/>
      <c r="X109" s="23"/>
      <c r="Y109" s="23"/>
      <c r="Z109" s="23"/>
      <c r="AA109" s="23"/>
      <c r="AB109" s="23"/>
      <c r="AC109" s="4" t="s">
        <v>668</v>
      </c>
      <c r="AD109" s="26" t="n">
        <f aca="false">COUNTA(V109:AA109)</f>
        <v>0</v>
      </c>
      <c r="AE109" s="27"/>
      <c r="AF109" s="27" t="s">
        <v>34</v>
      </c>
      <c r="AG109" s="28"/>
      <c r="AH109" s="27"/>
      <c r="AI109" s="27"/>
      <c r="AJ109" s="27"/>
      <c r="AK109" s="27"/>
      <c r="AL109" s="28"/>
      <c r="AM109" s="28"/>
      <c r="AN109" s="29"/>
      <c r="AO109" s="4" t="str">
        <f aca="false">IFERROR(INDEX(Playbook!$C$4:$C$17,MATCH($AF109,Playbook!$A$4:$A$17,0)),"")</f>
        <v>Read the row: tier, segment, trigger, reason we lose them. Check contact coverage; if 0, enrich before anything else.</v>
      </c>
      <c r="AP109" s="23" t="str">
        <f aca="false">IFERROR(INDEX(Playbook!$D$4:$D$17,MATCH($AF109,Playbook!$A$4:$A$17,0)),"")</f>
        <v>—</v>
      </c>
      <c r="AQ109" s="4" t="str">
        <f aca="false">IFERROR(INDEX(Playbook!$E$4:$E$17,MATCH($AF109,Playbook!$A$4:$A$17,0)),"")</f>
        <v>Row read and a contact channel exists</v>
      </c>
      <c r="AR109" s="30" t="n">
        <f aca="false">IFERROR(INDEX(Playbook!$G$4:$G$17,MATCH($AF109,Playbook!$A$4:$A$17,0)),0)</f>
        <v>0</v>
      </c>
      <c r="AS109" s="31" t="n">
        <f aca="false">IFERROR(INDEX('Pricing &amp; Pilot'!$D$4:$D$6,MATCH($D109,'Pricing &amp; Pilot'!$A$4:$A$6,0)),0)</f>
        <v>0</v>
      </c>
      <c r="AT109" s="31" t="n">
        <f aca="false">AS109*AR109</f>
        <v>0</v>
      </c>
      <c r="AU109" s="23" t="str">
        <f aca="true">IF(AL109="","",TODAY()-AL109)</f>
        <v/>
      </c>
      <c r="AV109" s="23" t="str">
        <f aca="true">IF(AM109="","",IF(AND(AM109&lt;TODAY(),$AF109&lt;&gt;"Customer",$AF109&lt;&gt;"Lost",$AF109&lt;&gt;"Not a fit"),"OVERDUE",""))</f>
        <v/>
      </c>
      <c r="AW109" s="23" t="str">
        <f aca="false">IF(AV109="OVERDUE","RED",IF($AF109="Not started","—",IF($AF109="Customer","GREEN",IF(OR($AF109="Lost",$AF109="Not a fit"),"CLOSED","AMBER"))))</f>
        <v>—</v>
      </c>
    </row>
    <row r="110" customFormat="false" ht="48" hidden="false" customHeight="true" outlineLevel="0" collapsed="false">
      <c r="A110" s="23" t="n">
        <v>109</v>
      </c>
      <c r="B110" s="34" t="s">
        <v>454</v>
      </c>
      <c r="C110" s="23" t="str">
        <f aca="false">IF(OR(B110="A",B110="B"),"Yes","No")</f>
        <v>No</v>
      </c>
      <c r="D110" s="23"/>
      <c r="E110" s="23" t="s">
        <v>669</v>
      </c>
      <c r="F110" s="23" t="s">
        <v>670</v>
      </c>
      <c r="G110" s="23"/>
      <c r="H110" s="23"/>
      <c r="I110" s="4"/>
      <c r="J110" s="23" t="s">
        <v>133</v>
      </c>
      <c r="K110" s="23" t="s">
        <v>134</v>
      </c>
      <c r="L110" s="23" t="s">
        <v>134</v>
      </c>
      <c r="M110" s="25" t="n">
        <v>55.6</v>
      </c>
      <c r="N110" s="23" t="s">
        <v>422</v>
      </c>
      <c r="O110" s="23" t="s">
        <v>136</v>
      </c>
      <c r="P110" s="4" t="s">
        <v>462</v>
      </c>
      <c r="Q110" s="4" t="s">
        <v>155</v>
      </c>
      <c r="R110" s="4" t="s">
        <v>463</v>
      </c>
      <c r="S110" s="4"/>
      <c r="T110" s="4"/>
      <c r="U110" s="4"/>
      <c r="V110" s="23"/>
      <c r="W110" s="23"/>
      <c r="X110" s="23"/>
      <c r="Y110" s="23"/>
      <c r="Z110" s="23"/>
      <c r="AA110" s="23"/>
      <c r="AB110" s="23"/>
      <c r="AC110" s="4" t="s">
        <v>671</v>
      </c>
      <c r="AD110" s="26" t="n">
        <f aca="false">COUNTA(V110:AA110)</f>
        <v>0</v>
      </c>
      <c r="AE110" s="27"/>
      <c r="AF110" s="27" t="s">
        <v>34</v>
      </c>
      <c r="AG110" s="28"/>
      <c r="AH110" s="27"/>
      <c r="AI110" s="27"/>
      <c r="AJ110" s="27"/>
      <c r="AK110" s="27"/>
      <c r="AL110" s="28"/>
      <c r="AM110" s="28"/>
      <c r="AN110" s="29"/>
      <c r="AO110" s="4" t="str">
        <f aca="false">IFERROR(INDEX(Playbook!$C$4:$C$17,MATCH($AF110,Playbook!$A$4:$A$17,0)),"")</f>
        <v>Read the row: tier, segment, trigger, reason we lose them. Check contact coverage; if 0, enrich before anything else.</v>
      </c>
      <c r="AP110" s="23" t="str">
        <f aca="false">IFERROR(INDEX(Playbook!$D$4:$D$17,MATCH($AF110,Playbook!$A$4:$A$17,0)),"")</f>
        <v>—</v>
      </c>
      <c r="AQ110" s="4" t="str">
        <f aca="false">IFERROR(INDEX(Playbook!$E$4:$E$17,MATCH($AF110,Playbook!$A$4:$A$17,0)),"")</f>
        <v>Row read and a contact channel exists</v>
      </c>
      <c r="AR110" s="30" t="n">
        <f aca="false">IFERROR(INDEX(Playbook!$G$4:$G$17,MATCH($AF110,Playbook!$A$4:$A$17,0)),0)</f>
        <v>0</v>
      </c>
      <c r="AS110" s="31" t="n">
        <f aca="false">IFERROR(INDEX('Pricing &amp; Pilot'!$D$4:$D$6,MATCH($D110,'Pricing &amp; Pilot'!$A$4:$A$6,0)),0)</f>
        <v>0</v>
      </c>
      <c r="AT110" s="31" t="n">
        <f aca="false">AS110*AR110</f>
        <v>0</v>
      </c>
      <c r="AU110" s="23" t="str">
        <f aca="true">IF(AL110="","",TODAY()-AL110)</f>
        <v/>
      </c>
      <c r="AV110" s="23" t="str">
        <f aca="true">IF(AM110="","",IF(AND(AM110&lt;TODAY(),$AF110&lt;&gt;"Customer",$AF110&lt;&gt;"Lost",$AF110&lt;&gt;"Not a fit"),"OVERDUE",""))</f>
        <v/>
      </c>
      <c r="AW110" s="23" t="str">
        <f aca="false">IF(AV110="OVERDUE","RED",IF($AF110="Not started","—",IF($AF110="Customer","GREEN",IF(OR($AF110="Lost",$AF110="Not a fit"),"CLOSED","AMBER"))))</f>
        <v>—</v>
      </c>
    </row>
    <row r="111" customFormat="false" ht="48" hidden="false" customHeight="true" outlineLevel="0" collapsed="false">
      <c r="A111" s="23" t="n">
        <v>110</v>
      </c>
      <c r="B111" s="34" t="s">
        <v>454</v>
      </c>
      <c r="C111" s="23" t="str">
        <f aca="false">IF(OR(B111="A",B111="B"),"Yes","No")</f>
        <v>No</v>
      </c>
      <c r="D111" s="23"/>
      <c r="E111" s="23" t="s">
        <v>672</v>
      </c>
      <c r="F111" s="23" t="s">
        <v>673</v>
      </c>
      <c r="G111" s="23" t="s">
        <v>674</v>
      </c>
      <c r="H111" s="23"/>
      <c r="I111" s="4"/>
      <c r="J111" s="23" t="s">
        <v>133</v>
      </c>
      <c r="K111" s="23" t="s">
        <v>274</v>
      </c>
      <c r="L111" s="23" t="s">
        <v>134</v>
      </c>
      <c r="M111" s="25" t="n">
        <v>55.6</v>
      </c>
      <c r="N111" s="23" t="s">
        <v>422</v>
      </c>
      <c r="O111" s="23" t="s">
        <v>136</v>
      </c>
      <c r="P111" s="4" t="s">
        <v>462</v>
      </c>
      <c r="Q111" s="4" t="s">
        <v>155</v>
      </c>
      <c r="R111" s="4" t="s">
        <v>463</v>
      </c>
      <c r="S111" s="4"/>
      <c r="T111" s="4"/>
      <c r="U111" s="4"/>
      <c r="V111" s="23"/>
      <c r="W111" s="23"/>
      <c r="X111" s="23"/>
      <c r="Y111" s="23"/>
      <c r="Z111" s="23"/>
      <c r="AA111" s="23"/>
      <c r="AB111" s="23"/>
      <c r="AC111" s="4" t="s">
        <v>675</v>
      </c>
      <c r="AD111" s="26" t="n">
        <f aca="false">COUNTA(V111:AA111)</f>
        <v>0</v>
      </c>
      <c r="AE111" s="27"/>
      <c r="AF111" s="27" t="s">
        <v>34</v>
      </c>
      <c r="AG111" s="28"/>
      <c r="AH111" s="27"/>
      <c r="AI111" s="27"/>
      <c r="AJ111" s="27"/>
      <c r="AK111" s="27"/>
      <c r="AL111" s="28"/>
      <c r="AM111" s="28"/>
      <c r="AN111" s="29"/>
      <c r="AO111" s="4" t="str">
        <f aca="false">IFERROR(INDEX(Playbook!$C$4:$C$17,MATCH($AF111,Playbook!$A$4:$A$17,0)),"")</f>
        <v>Read the row: tier, segment, trigger, reason we lose them. Check contact coverage; if 0, enrich before anything else.</v>
      </c>
      <c r="AP111" s="23" t="str">
        <f aca="false">IFERROR(INDEX(Playbook!$D$4:$D$17,MATCH($AF111,Playbook!$A$4:$A$17,0)),"")</f>
        <v>—</v>
      </c>
      <c r="AQ111" s="4" t="str">
        <f aca="false">IFERROR(INDEX(Playbook!$E$4:$E$17,MATCH($AF111,Playbook!$A$4:$A$17,0)),"")</f>
        <v>Row read and a contact channel exists</v>
      </c>
      <c r="AR111" s="30" t="n">
        <f aca="false">IFERROR(INDEX(Playbook!$G$4:$G$17,MATCH($AF111,Playbook!$A$4:$A$17,0)),0)</f>
        <v>0</v>
      </c>
      <c r="AS111" s="31" t="n">
        <f aca="false">IFERROR(INDEX('Pricing &amp; Pilot'!$D$4:$D$6,MATCH($D111,'Pricing &amp; Pilot'!$A$4:$A$6,0)),0)</f>
        <v>0</v>
      </c>
      <c r="AT111" s="31" t="n">
        <f aca="false">AS111*AR111</f>
        <v>0</v>
      </c>
      <c r="AU111" s="23" t="str">
        <f aca="true">IF(AL111="","",TODAY()-AL111)</f>
        <v/>
      </c>
      <c r="AV111" s="23" t="str">
        <f aca="true">IF(AM111="","",IF(AND(AM111&lt;TODAY(),$AF111&lt;&gt;"Customer",$AF111&lt;&gt;"Lost",$AF111&lt;&gt;"Not a fit"),"OVERDUE",""))</f>
        <v/>
      </c>
      <c r="AW111" s="23" t="str">
        <f aca="false">IF(AV111="OVERDUE","RED",IF($AF111="Not started","—",IF($AF111="Customer","GREEN",IF(OR($AF111="Lost",$AF111="Not a fit"),"CLOSED","AMBER"))))</f>
        <v>—</v>
      </c>
    </row>
    <row r="112" customFormat="false" ht="48" hidden="false" customHeight="true" outlineLevel="0" collapsed="false">
      <c r="A112" s="23" t="n">
        <v>111</v>
      </c>
      <c r="B112" s="34" t="s">
        <v>454</v>
      </c>
      <c r="C112" s="23" t="str">
        <f aca="false">IF(OR(B112="A",B112="B"),"Yes","No")</f>
        <v>No</v>
      </c>
      <c r="D112" s="23"/>
      <c r="E112" s="23" t="s">
        <v>676</v>
      </c>
      <c r="F112" s="23" t="s">
        <v>677</v>
      </c>
      <c r="G112" s="23" t="s">
        <v>678</v>
      </c>
      <c r="H112" s="23"/>
      <c r="I112" s="4"/>
      <c r="J112" s="23" t="s">
        <v>133</v>
      </c>
      <c r="K112" s="23" t="s">
        <v>292</v>
      </c>
      <c r="L112" s="23" t="s">
        <v>134</v>
      </c>
      <c r="M112" s="25" t="n">
        <v>55.6</v>
      </c>
      <c r="N112" s="23" t="s">
        <v>422</v>
      </c>
      <c r="O112" s="23" t="s">
        <v>136</v>
      </c>
      <c r="P112" s="4" t="s">
        <v>462</v>
      </c>
      <c r="Q112" s="4" t="s">
        <v>155</v>
      </c>
      <c r="R112" s="4" t="s">
        <v>463</v>
      </c>
      <c r="S112" s="4"/>
      <c r="T112" s="4"/>
      <c r="U112" s="4"/>
      <c r="V112" s="23"/>
      <c r="W112" s="23"/>
      <c r="X112" s="23"/>
      <c r="Y112" s="23"/>
      <c r="Z112" s="23"/>
      <c r="AA112" s="23"/>
      <c r="AB112" s="23"/>
      <c r="AC112" s="4" t="s">
        <v>679</v>
      </c>
      <c r="AD112" s="26" t="n">
        <f aca="false">COUNTA(V112:AA112)</f>
        <v>0</v>
      </c>
      <c r="AE112" s="27"/>
      <c r="AF112" s="27" t="s">
        <v>34</v>
      </c>
      <c r="AG112" s="28"/>
      <c r="AH112" s="27"/>
      <c r="AI112" s="27"/>
      <c r="AJ112" s="27"/>
      <c r="AK112" s="27"/>
      <c r="AL112" s="28"/>
      <c r="AM112" s="28"/>
      <c r="AN112" s="29"/>
      <c r="AO112" s="4" t="str">
        <f aca="false">IFERROR(INDEX(Playbook!$C$4:$C$17,MATCH($AF112,Playbook!$A$4:$A$17,0)),"")</f>
        <v>Read the row: tier, segment, trigger, reason we lose them. Check contact coverage; if 0, enrich before anything else.</v>
      </c>
      <c r="AP112" s="23" t="str">
        <f aca="false">IFERROR(INDEX(Playbook!$D$4:$D$17,MATCH($AF112,Playbook!$A$4:$A$17,0)),"")</f>
        <v>—</v>
      </c>
      <c r="AQ112" s="4" t="str">
        <f aca="false">IFERROR(INDEX(Playbook!$E$4:$E$17,MATCH($AF112,Playbook!$A$4:$A$17,0)),"")</f>
        <v>Row read and a contact channel exists</v>
      </c>
      <c r="AR112" s="30" t="n">
        <f aca="false">IFERROR(INDEX(Playbook!$G$4:$G$17,MATCH($AF112,Playbook!$A$4:$A$17,0)),0)</f>
        <v>0</v>
      </c>
      <c r="AS112" s="31" t="n">
        <f aca="false">IFERROR(INDEX('Pricing &amp; Pilot'!$D$4:$D$6,MATCH($D112,'Pricing &amp; Pilot'!$A$4:$A$6,0)),0)</f>
        <v>0</v>
      </c>
      <c r="AT112" s="31" t="n">
        <f aca="false">AS112*AR112</f>
        <v>0</v>
      </c>
      <c r="AU112" s="23" t="str">
        <f aca="true">IF(AL112="","",TODAY()-AL112)</f>
        <v/>
      </c>
      <c r="AV112" s="23" t="str">
        <f aca="true">IF(AM112="","",IF(AND(AM112&lt;TODAY(),$AF112&lt;&gt;"Customer",$AF112&lt;&gt;"Lost",$AF112&lt;&gt;"Not a fit"),"OVERDUE",""))</f>
        <v/>
      </c>
      <c r="AW112" s="23" t="str">
        <f aca="false">IF(AV112="OVERDUE","RED",IF($AF112="Not started","—",IF($AF112="Customer","GREEN",IF(OR($AF112="Lost",$AF112="Not a fit"),"CLOSED","AMBER"))))</f>
        <v>—</v>
      </c>
    </row>
    <row r="113" customFormat="false" ht="48" hidden="false" customHeight="true" outlineLevel="0" collapsed="false">
      <c r="A113" s="23" t="n">
        <v>112</v>
      </c>
      <c r="B113" s="34" t="s">
        <v>454</v>
      </c>
      <c r="C113" s="23" t="str">
        <f aca="false">IF(OR(B113="A",B113="B"),"Yes","No")</f>
        <v>No</v>
      </c>
      <c r="D113" s="23"/>
      <c r="E113" s="23" t="s">
        <v>680</v>
      </c>
      <c r="F113" s="23" t="s">
        <v>681</v>
      </c>
      <c r="G113" s="23" t="s">
        <v>682</v>
      </c>
      <c r="H113" s="23"/>
      <c r="I113" s="4"/>
      <c r="J113" s="23" t="s">
        <v>133</v>
      </c>
      <c r="K113" s="23" t="s">
        <v>134</v>
      </c>
      <c r="L113" s="23" t="s">
        <v>134</v>
      </c>
      <c r="M113" s="25" t="n">
        <v>55.6</v>
      </c>
      <c r="N113" s="23" t="s">
        <v>422</v>
      </c>
      <c r="O113" s="23" t="s">
        <v>136</v>
      </c>
      <c r="P113" s="4" t="s">
        <v>462</v>
      </c>
      <c r="Q113" s="4" t="s">
        <v>155</v>
      </c>
      <c r="R113" s="4" t="s">
        <v>463</v>
      </c>
      <c r="S113" s="4"/>
      <c r="T113" s="4"/>
      <c r="U113" s="4"/>
      <c r="V113" s="23"/>
      <c r="W113" s="23"/>
      <c r="X113" s="23"/>
      <c r="Y113" s="23"/>
      <c r="Z113" s="23"/>
      <c r="AA113" s="23"/>
      <c r="AB113" s="23"/>
      <c r="AC113" s="4" t="s">
        <v>683</v>
      </c>
      <c r="AD113" s="26" t="n">
        <f aca="false">COUNTA(V113:AA113)</f>
        <v>0</v>
      </c>
      <c r="AE113" s="27"/>
      <c r="AF113" s="27" t="s">
        <v>34</v>
      </c>
      <c r="AG113" s="28"/>
      <c r="AH113" s="27"/>
      <c r="AI113" s="27"/>
      <c r="AJ113" s="27"/>
      <c r="AK113" s="27"/>
      <c r="AL113" s="28"/>
      <c r="AM113" s="28"/>
      <c r="AN113" s="29"/>
      <c r="AO113" s="4" t="str">
        <f aca="false">IFERROR(INDEX(Playbook!$C$4:$C$17,MATCH($AF113,Playbook!$A$4:$A$17,0)),"")</f>
        <v>Read the row: tier, segment, trigger, reason we lose them. Check contact coverage; if 0, enrich before anything else.</v>
      </c>
      <c r="AP113" s="23" t="str">
        <f aca="false">IFERROR(INDEX(Playbook!$D$4:$D$17,MATCH($AF113,Playbook!$A$4:$A$17,0)),"")</f>
        <v>—</v>
      </c>
      <c r="AQ113" s="4" t="str">
        <f aca="false">IFERROR(INDEX(Playbook!$E$4:$E$17,MATCH($AF113,Playbook!$A$4:$A$17,0)),"")</f>
        <v>Row read and a contact channel exists</v>
      </c>
      <c r="AR113" s="30" t="n">
        <f aca="false">IFERROR(INDEX(Playbook!$G$4:$G$17,MATCH($AF113,Playbook!$A$4:$A$17,0)),0)</f>
        <v>0</v>
      </c>
      <c r="AS113" s="31" t="n">
        <f aca="false">IFERROR(INDEX('Pricing &amp; Pilot'!$D$4:$D$6,MATCH($D113,'Pricing &amp; Pilot'!$A$4:$A$6,0)),0)</f>
        <v>0</v>
      </c>
      <c r="AT113" s="31" t="n">
        <f aca="false">AS113*AR113</f>
        <v>0</v>
      </c>
      <c r="AU113" s="23" t="str">
        <f aca="true">IF(AL113="","",TODAY()-AL113)</f>
        <v/>
      </c>
      <c r="AV113" s="23" t="str">
        <f aca="true">IF(AM113="","",IF(AND(AM113&lt;TODAY(),$AF113&lt;&gt;"Customer",$AF113&lt;&gt;"Lost",$AF113&lt;&gt;"Not a fit"),"OVERDUE",""))</f>
        <v/>
      </c>
      <c r="AW113" s="23" t="str">
        <f aca="false">IF(AV113="OVERDUE","RED",IF($AF113="Not started","—",IF($AF113="Customer","GREEN",IF(OR($AF113="Lost",$AF113="Not a fit"),"CLOSED","AMBER"))))</f>
        <v>—</v>
      </c>
    </row>
    <row r="114" customFormat="false" ht="48" hidden="false" customHeight="true" outlineLevel="0" collapsed="false">
      <c r="A114" s="23" t="n">
        <v>113</v>
      </c>
      <c r="B114" s="34" t="s">
        <v>454</v>
      </c>
      <c r="C114" s="23" t="str">
        <f aca="false">IF(OR(B114="A",B114="B"),"Yes","No")</f>
        <v>No</v>
      </c>
      <c r="D114" s="23"/>
      <c r="E114" s="23" t="s">
        <v>684</v>
      </c>
      <c r="F114" s="23" t="s">
        <v>685</v>
      </c>
      <c r="G114" s="23"/>
      <c r="H114" s="23"/>
      <c r="I114" s="4"/>
      <c r="J114" s="23" t="s">
        <v>133</v>
      </c>
      <c r="K114" s="23" t="s">
        <v>517</v>
      </c>
      <c r="L114" s="23" t="s">
        <v>134</v>
      </c>
      <c r="M114" s="25" t="n">
        <v>55.6</v>
      </c>
      <c r="N114" s="23" t="s">
        <v>422</v>
      </c>
      <c r="O114" s="23" t="s">
        <v>136</v>
      </c>
      <c r="P114" s="4" t="s">
        <v>462</v>
      </c>
      <c r="Q114" s="4" t="s">
        <v>155</v>
      </c>
      <c r="R114" s="4" t="s">
        <v>463</v>
      </c>
      <c r="S114" s="4"/>
      <c r="T114" s="4"/>
      <c r="U114" s="4"/>
      <c r="V114" s="23"/>
      <c r="W114" s="23"/>
      <c r="X114" s="23"/>
      <c r="Y114" s="23"/>
      <c r="Z114" s="23"/>
      <c r="AA114" s="23"/>
      <c r="AB114" s="23"/>
      <c r="AC114" s="4" t="s">
        <v>686</v>
      </c>
      <c r="AD114" s="26" t="n">
        <f aca="false">COUNTA(V114:AA114)</f>
        <v>0</v>
      </c>
      <c r="AE114" s="27"/>
      <c r="AF114" s="27" t="s">
        <v>34</v>
      </c>
      <c r="AG114" s="28"/>
      <c r="AH114" s="27"/>
      <c r="AI114" s="27"/>
      <c r="AJ114" s="27"/>
      <c r="AK114" s="27"/>
      <c r="AL114" s="28"/>
      <c r="AM114" s="28"/>
      <c r="AN114" s="29"/>
      <c r="AO114" s="4" t="str">
        <f aca="false">IFERROR(INDEX(Playbook!$C$4:$C$17,MATCH($AF114,Playbook!$A$4:$A$17,0)),"")</f>
        <v>Read the row: tier, segment, trigger, reason we lose them. Check contact coverage; if 0, enrich before anything else.</v>
      </c>
      <c r="AP114" s="23" t="str">
        <f aca="false">IFERROR(INDEX(Playbook!$D$4:$D$17,MATCH($AF114,Playbook!$A$4:$A$17,0)),"")</f>
        <v>—</v>
      </c>
      <c r="AQ114" s="4" t="str">
        <f aca="false">IFERROR(INDEX(Playbook!$E$4:$E$17,MATCH($AF114,Playbook!$A$4:$A$17,0)),"")</f>
        <v>Row read and a contact channel exists</v>
      </c>
      <c r="AR114" s="30" t="n">
        <f aca="false">IFERROR(INDEX(Playbook!$G$4:$G$17,MATCH($AF114,Playbook!$A$4:$A$17,0)),0)</f>
        <v>0</v>
      </c>
      <c r="AS114" s="31" t="n">
        <f aca="false">IFERROR(INDEX('Pricing &amp; Pilot'!$D$4:$D$6,MATCH($D114,'Pricing &amp; Pilot'!$A$4:$A$6,0)),0)</f>
        <v>0</v>
      </c>
      <c r="AT114" s="31" t="n">
        <f aca="false">AS114*AR114</f>
        <v>0</v>
      </c>
      <c r="AU114" s="23" t="str">
        <f aca="true">IF(AL114="","",TODAY()-AL114)</f>
        <v/>
      </c>
      <c r="AV114" s="23" t="str">
        <f aca="true">IF(AM114="","",IF(AND(AM114&lt;TODAY(),$AF114&lt;&gt;"Customer",$AF114&lt;&gt;"Lost",$AF114&lt;&gt;"Not a fit"),"OVERDUE",""))</f>
        <v/>
      </c>
      <c r="AW114" s="23" t="str">
        <f aca="false">IF(AV114="OVERDUE","RED",IF($AF114="Not started","—",IF($AF114="Customer","GREEN",IF(OR($AF114="Lost",$AF114="Not a fit"),"CLOSED","AMBER"))))</f>
        <v>—</v>
      </c>
    </row>
    <row r="115" customFormat="false" ht="48" hidden="false" customHeight="true" outlineLevel="0" collapsed="false">
      <c r="A115" s="23" t="n">
        <v>114</v>
      </c>
      <c r="B115" s="34" t="s">
        <v>454</v>
      </c>
      <c r="C115" s="23" t="str">
        <f aca="false">IF(OR(B115="A",B115="B"),"Yes","No")</f>
        <v>No</v>
      </c>
      <c r="D115" s="23"/>
      <c r="E115" s="23" t="s">
        <v>687</v>
      </c>
      <c r="F115" s="23" t="s">
        <v>688</v>
      </c>
      <c r="G115" s="23"/>
      <c r="H115" s="23"/>
      <c r="I115" s="4"/>
      <c r="J115" s="23" t="s">
        <v>133</v>
      </c>
      <c r="K115" s="23" t="s">
        <v>134</v>
      </c>
      <c r="L115" s="23" t="s">
        <v>134</v>
      </c>
      <c r="M115" s="25" t="n">
        <v>55.6</v>
      </c>
      <c r="N115" s="23" t="s">
        <v>422</v>
      </c>
      <c r="O115" s="23" t="s">
        <v>136</v>
      </c>
      <c r="P115" s="4" t="s">
        <v>462</v>
      </c>
      <c r="Q115" s="4" t="s">
        <v>155</v>
      </c>
      <c r="R115" s="4" t="s">
        <v>463</v>
      </c>
      <c r="S115" s="4"/>
      <c r="T115" s="4"/>
      <c r="U115" s="4"/>
      <c r="V115" s="23"/>
      <c r="W115" s="23"/>
      <c r="X115" s="23"/>
      <c r="Y115" s="23"/>
      <c r="Z115" s="23"/>
      <c r="AA115" s="23"/>
      <c r="AB115" s="23"/>
      <c r="AC115" s="4" t="s">
        <v>689</v>
      </c>
      <c r="AD115" s="26" t="n">
        <f aca="false">COUNTA(V115:AA115)</f>
        <v>0</v>
      </c>
      <c r="AE115" s="27"/>
      <c r="AF115" s="27" t="s">
        <v>34</v>
      </c>
      <c r="AG115" s="28"/>
      <c r="AH115" s="27"/>
      <c r="AI115" s="27"/>
      <c r="AJ115" s="27"/>
      <c r="AK115" s="27"/>
      <c r="AL115" s="28"/>
      <c r="AM115" s="28"/>
      <c r="AN115" s="29"/>
      <c r="AO115" s="4" t="str">
        <f aca="false">IFERROR(INDEX(Playbook!$C$4:$C$17,MATCH($AF115,Playbook!$A$4:$A$17,0)),"")</f>
        <v>Read the row: tier, segment, trigger, reason we lose them. Check contact coverage; if 0, enrich before anything else.</v>
      </c>
      <c r="AP115" s="23" t="str">
        <f aca="false">IFERROR(INDEX(Playbook!$D$4:$D$17,MATCH($AF115,Playbook!$A$4:$A$17,0)),"")</f>
        <v>—</v>
      </c>
      <c r="AQ115" s="4" t="str">
        <f aca="false">IFERROR(INDEX(Playbook!$E$4:$E$17,MATCH($AF115,Playbook!$A$4:$A$17,0)),"")</f>
        <v>Row read and a contact channel exists</v>
      </c>
      <c r="AR115" s="30" t="n">
        <f aca="false">IFERROR(INDEX(Playbook!$G$4:$G$17,MATCH($AF115,Playbook!$A$4:$A$17,0)),0)</f>
        <v>0</v>
      </c>
      <c r="AS115" s="31" t="n">
        <f aca="false">IFERROR(INDEX('Pricing &amp; Pilot'!$D$4:$D$6,MATCH($D115,'Pricing &amp; Pilot'!$A$4:$A$6,0)),0)</f>
        <v>0</v>
      </c>
      <c r="AT115" s="31" t="n">
        <f aca="false">AS115*AR115</f>
        <v>0</v>
      </c>
      <c r="AU115" s="23" t="str">
        <f aca="true">IF(AL115="","",TODAY()-AL115)</f>
        <v/>
      </c>
      <c r="AV115" s="23" t="str">
        <f aca="true">IF(AM115="","",IF(AND(AM115&lt;TODAY(),$AF115&lt;&gt;"Customer",$AF115&lt;&gt;"Lost",$AF115&lt;&gt;"Not a fit"),"OVERDUE",""))</f>
        <v/>
      </c>
      <c r="AW115" s="23" t="str">
        <f aca="false">IF(AV115="OVERDUE","RED",IF($AF115="Not started","—",IF($AF115="Customer","GREEN",IF(OR($AF115="Lost",$AF115="Not a fit"),"CLOSED","AMBER"))))</f>
        <v>—</v>
      </c>
    </row>
    <row r="116" customFormat="false" ht="48" hidden="false" customHeight="true" outlineLevel="0" collapsed="false">
      <c r="A116" s="23" t="n">
        <v>115</v>
      </c>
      <c r="B116" s="34" t="s">
        <v>454</v>
      </c>
      <c r="C116" s="23" t="str">
        <f aca="false">IF(OR(B116="A",B116="B"),"Yes","No")</f>
        <v>No</v>
      </c>
      <c r="D116" s="23"/>
      <c r="E116" s="23" t="s">
        <v>690</v>
      </c>
      <c r="F116" s="23" t="s">
        <v>691</v>
      </c>
      <c r="G116" s="23"/>
      <c r="H116" s="23"/>
      <c r="I116" s="4"/>
      <c r="J116" s="23" t="s">
        <v>133</v>
      </c>
      <c r="K116" s="23" t="s">
        <v>188</v>
      </c>
      <c r="L116" s="23" t="s">
        <v>134</v>
      </c>
      <c r="M116" s="25" t="n">
        <v>55.6</v>
      </c>
      <c r="N116" s="23" t="s">
        <v>422</v>
      </c>
      <c r="O116" s="23" t="s">
        <v>136</v>
      </c>
      <c r="P116" s="4" t="s">
        <v>462</v>
      </c>
      <c r="Q116" s="4" t="s">
        <v>155</v>
      </c>
      <c r="R116" s="4" t="s">
        <v>463</v>
      </c>
      <c r="S116" s="4"/>
      <c r="T116" s="4"/>
      <c r="U116" s="4"/>
      <c r="V116" s="23"/>
      <c r="W116" s="23"/>
      <c r="X116" s="23"/>
      <c r="Y116" s="23"/>
      <c r="Z116" s="23"/>
      <c r="AA116" s="23"/>
      <c r="AB116" s="23"/>
      <c r="AC116" s="4" t="s">
        <v>692</v>
      </c>
      <c r="AD116" s="26" t="n">
        <f aca="false">COUNTA(V116:AA116)</f>
        <v>0</v>
      </c>
      <c r="AE116" s="27"/>
      <c r="AF116" s="27" t="s">
        <v>34</v>
      </c>
      <c r="AG116" s="28"/>
      <c r="AH116" s="27"/>
      <c r="AI116" s="27"/>
      <c r="AJ116" s="27"/>
      <c r="AK116" s="27"/>
      <c r="AL116" s="28"/>
      <c r="AM116" s="28"/>
      <c r="AN116" s="29"/>
      <c r="AO116" s="4" t="str">
        <f aca="false">IFERROR(INDEX(Playbook!$C$4:$C$17,MATCH($AF116,Playbook!$A$4:$A$17,0)),"")</f>
        <v>Read the row: tier, segment, trigger, reason we lose them. Check contact coverage; if 0, enrich before anything else.</v>
      </c>
      <c r="AP116" s="23" t="str">
        <f aca="false">IFERROR(INDEX(Playbook!$D$4:$D$17,MATCH($AF116,Playbook!$A$4:$A$17,0)),"")</f>
        <v>—</v>
      </c>
      <c r="AQ116" s="4" t="str">
        <f aca="false">IFERROR(INDEX(Playbook!$E$4:$E$17,MATCH($AF116,Playbook!$A$4:$A$17,0)),"")</f>
        <v>Row read and a contact channel exists</v>
      </c>
      <c r="AR116" s="30" t="n">
        <f aca="false">IFERROR(INDEX(Playbook!$G$4:$G$17,MATCH($AF116,Playbook!$A$4:$A$17,0)),0)</f>
        <v>0</v>
      </c>
      <c r="AS116" s="31" t="n">
        <f aca="false">IFERROR(INDEX('Pricing &amp; Pilot'!$D$4:$D$6,MATCH($D116,'Pricing &amp; Pilot'!$A$4:$A$6,0)),0)</f>
        <v>0</v>
      </c>
      <c r="AT116" s="31" t="n">
        <f aca="false">AS116*AR116</f>
        <v>0</v>
      </c>
      <c r="AU116" s="23" t="str">
        <f aca="true">IF(AL116="","",TODAY()-AL116)</f>
        <v/>
      </c>
      <c r="AV116" s="23" t="str">
        <f aca="true">IF(AM116="","",IF(AND(AM116&lt;TODAY(),$AF116&lt;&gt;"Customer",$AF116&lt;&gt;"Lost",$AF116&lt;&gt;"Not a fit"),"OVERDUE",""))</f>
        <v/>
      </c>
      <c r="AW116" s="23" t="str">
        <f aca="false">IF(AV116="OVERDUE","RED",IF($AF116="Not started","—",IF($AF116="Customer","GREEN",IF(OR($AF116="Lost",$AF116="Not a fit"),"CLOSED","AMBER"))))</f>
        <v>—</v>
      </c>
    </row>
    <row r="117" customFormat="false" ht="48" hidden="false" customHeight="true" outlineLevel="0" collapsed="false">
      <c r="A117" s="23" t="n">
        <v>116</v>
      </c>
      <c r="B117" s="34" t="s">
        <v>454</v>
      </c>
      <c r="C117" s="23" t="str">
        <f aca="false">IF(OR(B117="A",B117="B"),"Yes","No")</f>
        <v>No</v>
      </c>
      <c r="D117" s="23"/>
      <c r="E117" s="23" t="s">
        <v>693</v>
      </c>
      <c r="F117" s="23" t="s">
        <v>694</v>
      </c>
      <c r="G117" s="23"/>
      <c r="H117" s="23"/>
      <c r="I117" s="4"/>
      <c r="J117" s="23" t="s">
        <v>363</v>
      </c>
      <c r="K117" s="23" t="s">
        <v>334</v>
      </c>
      <c r="L117" s="23" t="s">
        <v>134</v>
      </c>
      <c r="M117" s="25" t="n">
        <v>50.8</v>
      </c>
      <c r="N117" s="23" t="s">
        <v>422</v>
      </c>
      <c r="O117" s="23" t="s">
        <v>136</v>
      </c>
      <c r="P117" s="4" t="s">
        <v>462</v>
      </c>
      <c r="Q117" s="4" t="s">
        <v>155</v>
      </c>
      <c r="R117" s="4" t="s">
        <v>695</v>
      </c>
      <c r="S117" s="4"/>
      <c r="T117" s="4"/>
      <c r="U117" s="4" t="s">
        <v>696</v>
      </c>
      <c r="V117" s="23"/>
      <c r="W117" s="23"/>
      <c r="X117" s="23"/>
      <c r="Y117" s="23"/>
      <c r="Z117" s="23"/>
      <c r="AA117" s="23"/>
      <c r="AB117" s="23"/>
      <c r="AC117" s="4" t="s">
        <v>697</v>
      </c>
      <c r="AD117" s="26" t="n">
        <f aca="false">COUNTA(V117:AA117)</f>
        <v>0</v>
      </c>
      <c r="AE117" s="27"/>
      <c r="AF117" s="27" t="s">
        <v>34</v>
      </c>
      <c r="AG117" s="28"/>
      <c r="AH117" s="27"/>
      <c r="AI117" s="27"/>
      <c r="AJ117" s="27"/>
      <c r="AK117" s="27"/>
      <c r="AL117" s="28"/>
      <c r="AM117" s="28"/>
      <c r="AN117" s="29"/>
      <c r="AO117" s="4" t="str">
        <f aca="false">IFERROR(INDEX(Playbook!$C$4:$C$17,MATCH($AF117,Playbook!$A$4:$A$17,0)),"")</f>
        <v>Read the row: tier, segment, trigger, reason we lose them. Check contact coverage; if 0, enrich before anything else.</v>
      </c>
      <c r="AP117" s="23" t="str">
        <f aca="false">IFERROR(INDEX(Playbook!$D$4:$D$17,MATCH($AF117,Playbook!$A$4:$A$17,0)),"")</f>
        <v>—</v>
      </c>
      <c r="AQ117" s="4" t="str">
        <f aca="false">IFERROR(INDEX(Playbook!$E$4:$E$17,MATCH($AF117,Playbook!$A$4:$A$17,0)),"")</f>
        <v>Row read and a contact channel exists</v>
      </c>
      <c r="AR117" s="30" t="n">
        <f aca="false">IFERROR(INDEX(Playbook!$G$4:$G$17,MATCH($AF117,Playbook!$A$4:$A$17,0)),0)</f>
        <v>0</v>
      </c>
      <c r="AS117" s="31" t="n">
        <f aca="false">IFERROR(INDEX('Pricing &amp; Pilot'!$D$4:$D$6,MATCH($D117,'Pricing &amp; Pilot'!$A$4:$A$6,0)),0)</f>
        <v>0</v>
      </c>
      <c r="AT117" s="31" t="n">
        <f aca="false">AS117*AR117</f>
        <v>0</v>
      </c>
      <c r="AU117" s="23" t="str">
        <f aca="true">IF(AL117="","",TODAY()-AL117)</f>
        <v/>
      </c>
      <c r="AV117" s="23" t="str">
        <f aca="true">IF(AM117="","",IF(AND(AM117&lt;TODAY(),$AF117&lt;&gt;"Customer",$AF117&lt;&gt;"Lost",$AF117&lt;&gt;"Not a fit"),"OVERDUE",""))</f>
        <v/>
      </c>
      <c r="AW117" s="23" t="str">
        <f aca="false">IF(AV117="OVERDUE","RED",IF($AF117="Not started","—",IF($AF117="Customer","GREEN",IF(OR($AF117="Lost",$AF117="Not a fit"),"CLOSED","AMBER"))))</f>
        <v>—</v>
      </c>
    </row>
    <row r="118" customFormat="false" ht="48" hidden="false" customHeight="true" outlineLevel="0" collapsed="false">
      <c r="A118" s="23" t="n">
        <v>117</v>
      </c>
      <c r="B118" s="34" t="s">
        <v>454</v>
      </c>
      <c r="C118" s="23" t="str">
        <f aca="false">IF(OR(B118="A",B118="B"),"Yes","No")</f>
        <v>No</v>
      </c>
      <c r="D118" s="23"/>
      <c r="E118" s="23" t="s">
        <v>698</v>
      </c>
      <c r="F118" s="23" t="s">
        <v>699</v>
      </c>
      <c r="G118" s="23" t="s">
        <v>700</v>
      </c>
      <c r="H118" s="23"/>
      <c r="I118" s="4"/>
      <c r="J118" s="23" t="s">
        <v>363</v>
      </c>
      <c r="K118" s="23" t="s">
        <v>134</v>
      </c>
      <c r="L118" s="23" t="s">
        <v>134</v>
      </c>
      <c r="M118" s="25" t="n">
        <v>50.8</v>
      </c>
      <c r="N118" s="23" t="s">
        <v>422</v>
      </c>
      <c r="O118" s="23" t="s">
        <v>136</v>
      </c>
      <c r="P118" s="4" t="s">
        <v>462</v>
      </c>
      <c r="Q118" s="4" t="s">
        <v>155</v>
      </c>
      <c r="R118" s="4" t="s">
        <v>695</v>
      </c>
      <c r="S118" s="4"/>
      <c r="T118" s="4"/>
      <c r="U118" s="4" t="s">
        <v>696</v>
      </c>
      <c r="V118" s="23"/>
      <c r="W118" s="23"/>
      <c r="X118" s="23"/>
      <c r="Y118" s="23"/>
      <c r="Z118" s="23"/>
      <c r="AA118" s="23"/>
      <c r="AB118" s="23"/>
      <c r="AC118" s="4" t="s">
        <v>701</v>
      </c>
      <c r="AD118" s="26" t="n">
        <f aca="false">COUNTA(V118:AA118)</f>
        <v>0</v>
      </c>
      <c r="AE118" s="27"/>
      <c r="AF118" s="27" t="s">
        <v>34</v>
      </c>
      <c r="AG118" s="28"/>
      <c r="AH118" s="27"/>
      <c r="AI118" s="27"/>
      <c r="AJ118" s="27"/>
      <c r="AK118" s="27"/>
      <c r="AL118" s="28"/>
      <c r="AM118" s="28"/>
      <c r="AN118" s="29"/>
      <c r="AO118" s="4" t="str">
        <f aca="false">IFERROR(INDEX(Playbook!$C$4:$C$17,MATCH($AF118,Playbook!$A$4:$A$17,0)),"")</f>
        <v>Read the row: tier, segment, trigger, reason we lose them. Check contact coverage; if 0, enrich before anything else.</v>
      </c>
      <c r="AP118" s="23" t="str">
        <f aca="false">IFERROR(INDEX(Playbook!$D$4:$D$17,MATCH($AF118,Playbook!$A$4:$A$17,0)),"")</f>
        <v>—</v>
      </c>
      <c r="AQ118" s="4" t="str">
        <f aca="false">IFERROR(INDEX(Playbook!$E$4:$E$17,MATCH($AF118,Playbook!$A$4:$A$17,0)),"")</f>
        <v>Row read and a contact channel exists</v>
      </c>
      <c r="AR118" s="30" t="n">
        <f aca="false">IFERROR(INDEX(Playbook!$G$4:$G$17,MATCH($AF118,Playbook!$A$4:$A$17,0)),0)</f>
        <v>0</v>
      </c>
      <c r="AS118" s="31" t="n">
        <f aca="false">IFERROR(INDEX('Pricing &amp; Pilot'!$D$4:$D$6,MATCH($D118,'Pricing &amp; Pilot'!$A$4:$A$6,0)),0)</f>
        <v>0</v>
      </c>
      <c r="AT118" s="31" t="n">
        <f aca="false">AS118*AR118</f>
        <v>0</v>
      </c>
      <c r="AU118" s="23" t="str">
        <f aca="true">IF(AL118="","",TODAY()-AL118)</f>
        <v/>
      </c>
      <c r="AV118" s="23" t="str">
        <f aca="true">IF(AM118="","",IF(AND(AM118&lt;TODAY(),$AF118&lt;&gt;"Customer",$AF118&lt;&gt;"Lost",$AF118&lt;&gt;"Not a fit"),"OVERDUE",""))</f>
        <v/>
      </c>
      <c r="AW118" s="23" t="str">
        <f aca="false">IF(AV118="OVERDUE","RED",IF($AF118="Not started","—",IF($AF118="Customer","GREEN",IF(OR($AF118="Lost",$AF118="Not a fit"),"CLOSED","AMBER"))))</f>
        <v>—</v>
      </c>
    </row>
    <row r="119" customFormat="false" ht="48" hidden="false" customHeight="true" outlineLevel="0" collapsed="false">
      <c r="A119" s="23" t="n">
        <v>118</v>
      </c>
      <c r="B119" s="34" t="s">
        <v>454</v>
      </c>
      <c r="C119" s="23" t="str">
        <f aca="false">IF(OR(B119="A",B119="B"),"Yes","No")</f>
        <v>No</v>
      </c>
      <c r="D119" s="23"/>
      <c r="E119" s="23" t="s">
        <v>702</v>
      </c>
      <c r="F119" s="23" t="s">
        <v>703</v>
      </c>
      <c r="G119" s="23"/>
      <c r="H119" s="23"/>
      <c r="I119" s="4"/>
      <c r="J119" s="23" t="s">
        <v>363</v>
      </c>
      <c r="K119" s="23" t="s">
        <v>517</v>
      </c>
      <c r="L119" s="23" t="s">
        <v>134</v>
      </c>
      <c r="M119" s="25" t="n">
        <v>50.8</v>
      </c>
      <c r="N119" s="23" t="s">
        <v>422</v>
      </c>
      <c r="O119" s="23" t="s">
        <v>136</v>
      </c>
      <c r="P119" s="4" t="s">
        <v>483</v>
      </c>
      <c r="Q119" s="4" t="s">
        <v>155</v>
      </c>
      <c r="R119" s="4" t="s">
        <v>695</v>
      </c>
      <c r="S119" s="4"/>
      <c r="T119" s="4"/>
      <c r="U119" s="4" t="s">
        <v>696</v>
      </c>
      <c r="V119" s="23"/>
      <c r="W119" s="23"/>
      <c r="X119" s="23"/>
      <c r="Y119" s="23"/>
      <c r="Z119" s="23"/>
      <c r="AA119" s="23"/>
      <c r="AB119" s="23"/>
      <c r="AC119" s="4" t="s">
        <v>704</v>
      </c>
      <c r="AD119" s="26" t="n">
        <f aca="false">COUNTA(V119:AA119)</f>
        <v>0</v>
      </c>
      <c r="AE119" s="27"/>
      <c r="AF119" s="27" t="s">
        <v>34</v>
      </c>
      <c r="AG119" s="28"/>
      <c r="AH119" s="27"/>
      <c r="AI119" s="27"/>
      <c r="AJ119" s="27"/>
      <c r="AK119" s="27"/>
      <c r="AL119" s="28"/>
      <c r="AM119" s="28"/>
      <c r="AN119" s="29"/>
      <c r="AO119" s="4" t="str">
        <f aca="false">IFERROR(INDEX(Playbook!$C$4:$C$17,MATCH($AF119,Playbook!$A$4:$A$17,0)),"")</f>
        <v>Read the row: tier, segment, trigger, reason we lose them. Check contact coverage; if 0, enrich before anything else.</v>
      </c>
      <c r="AP119" s="23" t="str">
        <f aca="false">IFERROR(INDEX(Playbook!$D$4:$D$17,MATCH($AF119,Playbook!$A$4:$A$17,0)),"")</f>
        <v>—</v>
      </c>
      <c r="AQ119" s="4" t="str">
        <f aca="false">IFERROR(INDEX(Playbook!$E$4:$E$17,MATCH($AF119,Playbook!$A$4:$A$17,0)),"")</f>
        <v>Row read and a contact channel exists</v>
      </c>
      <c r="AR119" s="30" t="n">
        <f aca="false">IFERROR(INDEX(Playbook!$G$4:$G$17,MATCH($AF119,Playbook!$A$4:$A$17,0)),0)</f>
        <v>0</v>
      </c>
      <c r="AS119" s="31" t="n">
        <f aca="false">IFERROR(INDEX('Pricing &amp; Pilot'!$D$4:$D$6,MATCH($D119,'Pricing &amp; Pilot'!$A$4:$A$6,0)),0)</f>
        <v>0</v>
      </c>
      <c r="AT119" s="31" t="n">
        <f aca="false">AS119*AR119</f>
        <v>0</v>
      </c>
      <c r="AU119" s="23" t="str">
        <f aca="true">IF(AL119="","",TODAY()-AL119)</f>
        <v/>
      </c>
      <c r="AV119" s="23" t="str">
        <f aca="true">IF(AM119="","",IF(AND(AM119&lt;TODAY(),$AF119&lt;&gt;"Customer",$AF119&lt;&gt;"Lost",$AF119&lt;&gt;"Not a fit"),"OVERDUE",""))</f>
        <v/>
      </c>
      <c r="AW119" s="23" t="str">
        <f aca="false">IF(AV119="OVERDUE","RED",IF($AF119="Not started","—",IF($AF119="Customer","GREEN",IF(OR($AF119="Lost",$AF119="Not a fit"),"CLOSED","AMBER"))))</f>
        <v>—</v>
      </c>
    </row>
    <row r="120" customFormat="false" ht="48" hidden="false" customHeight="true" outlineLevel="0" collapsed="false">
      <c r="A120" s="23" t="n">
        <v>119</v>
      </c>
      <c r="B120" s="34" t="s">
        <v>454</v>
      </c>
      <c r="C120" s="23" t="str">
        <f aca="false">IF(OR(B120="A",B120="B"),"Yes","No")</f>
        <v>No</v>
      </c>
      <c r="D120" s="23"/>
      <c r="E120" s="23" t="s">
        <v>705</v>
      </c>
      <c r="F120" s="23" t="s">
        <v>706</v>
      </c>
      <c r="G120" s="23" t="s">
        <v>707</v>
      </c>
      <c r="H120" s="23"/>
      <c r="I120" s="4"/>
      <c r="J120" s="23" t="s">
        <v>363</v>
      </c>
      <c r="K120" s="23" t="s">
        <v>346</v>
      </c>
      <c r="L120" s="23" t="s">
        <v>134</v>
      </c>
      <c r="M120" s="25" t="n">
        <v>50.8</v>
      </c>
      <c r="N120" s="23" t="s">
        <v>422</v>
      </c>
      <c r="O120" s="23" t="s">
        <v>136</v>
      </c>
      <c r="P120" s="4" t="s">
        <v>468</v>
      </c>
      <c r="Q120" s="4" t="s">
        <v>155</v>
      </c>
      <c r="R120" s="4" t="s">
        <v>695</v>
      </c>
      <c r="S120" s="4"/>
      <c r="T120" s="4"/>
      <c r="U120" s="4" t="s">
        <v>696</v>
      </c>
      <c r="V120" s="23"/>
      <c r="W120" s="23"/>
      <c r="X120" s="23"/>
      <c r="Y120" s="23"/>
      <c r="Z120" s="23"/>
      <c r="AA120" s="23"/>
      <c r="AB120" s="23"/>
      <c r="AC120" s="4" t="s">
        <v>708</v>
      </c>
      <c r="AD120" s="26" t="n">
        <f aca="false">COUNTA(V120:AA120)</f>
        <v>0</v>
      </c>
      <c r="AE120" s="27"/>
      <c r="AF120" s="27" t="s">
        <v>34</v>
      </c>
      <c r="AG120" s="28"/>
      <c r="AH120" s="27"/>
      <c r="AI120" s="27"/>
      <c r="AJ120" s="27"/>
      <c r="AK120" s="27"/>
      <c r="AL120" s="28"/>
      <c r="AM120" s="28"/>
      <c r="AN120" s="29"/>
      <c r="AO120" s="4" t="str">
        <f aca="false">IFERROR(INDEX(Playbook!$C$4:$C$17,MATCH($AF120,Playbook!$A$4:$A$17,0)),"")</f>
        <v>Read the row: tier, segment, trigger, reason we lose them. Check contact coverage; if 0, enrich before anything else.</v>
      </c>
      <c r="AP120" s="23" t="str">
        <f aca="false">IFERROR(INDEX(Playbook!$D$4:$D$17,MATCH($AF120,Playbook!$A$4:$A$17,0)),"")</f>
        <v>—</v>
      </c>
      <c r="AQ120" s="4" t="str">
        <f aca="false">IFERROR(INDEX(Playbook!$E$4:$E$17,MATCH($AF120,Playbook!$A$4:$A$17,0)),"")</f>
        <v>Row read and a contact channel exists</v>
      </c>
      <c r="AR120" s="30" t="n">
        <f aca="false">IFERROR(INDEX(Playbook!$G$4:$G$17,MATCH($AF120,Playbook!$A$4:$A$17,0)),0)</f>
        <v>0</v>
      </c>
      <c r="AS120" s="31" t="n">
        <f aca="false">IFERROR(INDEX('Pricing &amp; Pilot'!$D$4:$D$6,MATCH($D120,'Pricing &amp; Pilot'!$A$4:$A$6,0)),0)</f>
        <v>0</v>
      </c>
      <c r="AT120" s="31" t="n">
        <f aca="false">AS120*AR120</f>
        <v>0</v>
      </c>
      <c r="AU120" s="23" t="str">
        <f aca="true">IF(AL120="","",TODAY()-AL120)</f>
        <v/>
      </c>
      <c r="AV120" s="23" t="str">
        <f aca="true">IF(AM120="","",IF(AND(AM120&lt;TODAY(),$AF120&lt;&gt;"Customer",$AF120&lt;&gt;"Lost",$AF120&lt;&gt;"Not a fit"),"OVERDUE",""))</f>
        <v/>
      </c>
      <c r="AW120" s="23" t="str">
        <f aca="false">IF(AV120="OVERDUE","RED",IF($AF120="Not started","—",IF($AF120="Customer","GREEN",IF(OR($AF120="Lost",$AF120="Not a fit"),"CLOSED","AMBER"))))</f>
        <v>—</v>
      </c>
    </row>
    <row r="121" customFormat="false" ht="48" hidden="false" customHeight="true" outlineLevel="0" collapsed="false">
      <c r="A121" s="23" t="n">
        <v>120</v>
      </c>
      <c r="B121" s="34" t="s">
        <v>454</v>
      </c>
      <c r="C121" s="23" t="str">
        <f aca="false">IF(OR(B121="A",B121="B"),"Yes","No")</f>
        <v>No</v>
      </c>
      <c r="D121" s="23"/>
      <c r="E121" s="23" t="s">
        <v>709</v>
      </c>
      <c r="F121" s="23" t="s">
        <v>710</v>
      </c>
      <c r="G121" s="23" t="s">
        <v>711</v>
      </c>
      <c r="H121" s="23"/>
      <c r="I121" s="4"/>
      <c r="J121" s="23" t="s">
        <v>363</v>
      </c>
      <c r="K121" s="23" t="s">
        <v>712</v>
      </c>
      <c r="L121" s="23" t="s">
        <v>134</v>
      </c>
      <c r="M121" s="25" t="n">
        <v>50.8</v>
      </c>
      <c r="N121" s="23" t="s">
        <v>422</v>
      </c>
      <c r="O121" s="23" t="s">
        <v>136</v>
      </c>
      <c r="P121" s="4" t="s">
        <v>462</v>
      </c>
      <c r="Q121" s="4" t="s">
        <v>155</v>
      </c>
      <c r="R121" s="4" t="s">
        <v>695</v>
      </c>
      <c r="S121" s="4"/>
      <c r="T121" s="4"/>
      <c r="U121" s="4" t="s">
        <v>696</v>
      </c>
      <c r="V121" s="23"/>
      <c r="W121" s="23"/>
      <c r="X121" s="23"/>
      <c r="Y121" s="23"/>
      <c r="Z121" s="23"/>
      <c r="AA121" s="23"/>
      <c r="AB121" s="23"/>
      <c r="AC121" s="4" t="s">
        <v>713</v>
      </c>
      <c r="AD121" s="26" t="n">
        <f aca="false">COUNTA(V121:AA121)</f>
        <v>0</v>
      </c>
      <c r="AE121" s="27"/>
      <c r="AF121" s="27" t="s">
        <v>34</v>
      </c>
      <c r="AG121" s="28"/>
      <c r="AH121" s="27"/>
      <c r="AI121" s="27"/>
      <c r="AJ121" s="27"/>
      <c r="AK121" s="27"/>
      <c r="AL121" s="28"/>
      <c r="AM121" s="28"/>
      <c r="AN121" s="29"/>
      <c r="AO121" s="4" t="str">
        <f aca="false">IFERROR(INDEX(Playbook!$C$4:$C$17,MATCH($AF121,Playbook!$A$4:$A$17,0)),"")</f>
        <v>Read the row: tier, segment, trigger, reason we lose them. Check contact coverage; if 0, enrich before anything else.</v>
      </c>
      <c r="AP121" s="23" t="str">
        <f aca="false">IFERROR(INDEX(Playbook!$D$4:$D$17,MATCH($AF121,Playbook!$A$4:$A$17,0)),"")</f>
        <v>—</v>
      </c>
      <c r="AQ121" s="4" t="str">
        <f aca="false">IFERROR(INDEX(Playbook!$E$4:$E$17,MATCH($AF121,Playbook!$A$4:$A$17,0)),"")</f>
        <v>Row read and a contact channel exists</v>
      </c>
      <c r="AR121" s="30" t="n">
        <f aca="false">IFERROR(INDEX(Playbook!$G$4:$G$17,MATCH($AF121,Playbook!$A$4:$A$17,0)),0)</f>
        <v>0</v>
      </c>
      <c r="AS121" s="31" t="n">
        <f aca="false">IFERROR(INDEX('Pricing &amp; Pilot'!$D$4:$D$6,MATCH($D121,'Pricing &amp; Pilot'!$A$4:$A$6,0)),0)</f>
        <v>0</v>
      </c>
      <c r="AT121" s="31" t="n">
        <f aca="false">AS121*AR121</f>
        <v>0</v>
      </c>
      <c r="AU121" s="23" t="str">
        <f aca="true">IF(AL121="","",TODAY()-AL121)</f>
        <v/>
      </c>
      <c r="AV121" s="23" t="str">
        <f aca="true">IF(AM121="","",IF(AND(AM121&lt;TODAY(),$AF121&lt;&gt;"Customer",$AF121&lt;&gt;"Lost",$AF121&lt;&gt;"Not a fit"),"OVERDUE",""))</f>
        <v/>
      </c>
      <c r="AW121" s="23" t="str">
        <f aca="false">IF(AV121="OVERDUE","RED",IF($AF121="Not started","—",IF($AF121="Customer","GREEN",IF(OR($AF121="Lost",$AF121="Not a fit"),"CLOSED","AMBER"))))</f>
        <v>—</v>
      </c>
    </row>
    <row r="122" customFormat="false" ht="48" hidden="false" customHeight="true" outlineLevel="0" collapsed="false">
      <c r="A122" s="23" t="n">
        <v>121</v>
      </c>
      <c r="B122" s="34" t="s">
        <v>454</v>
      </c>
      <c r="C122" s="23" t="str">
        <f aca="false">IF(OR(B122="A",B122="B"),"Yes","No")</f>
        <v>No</v>
      </c>
      <c r="D122" s="23"/>
      <c r="E122" s="23" t="s">
        <v>714</v>
      </c>
      <c r="F122" s="23" t="s">
        <v>715</v>
      </c>
      <c r="G122" s="23"/>
      <c r="H122" s="23"/>
      <c r="I122" s="4"/>
      <c r="J122" s="23" t="s">
        <v>363</v>
      </c>
      <c r="K122" s="23" t="s">
        <v>274</v>
      </c>
      <c r="L122" s="23" t="s">
        <v>134</v>
      </c>
      <c r="M122" s="25" t="n">
        <v>50.8</v>
      </c>
      <c r="N122" s="23" t="s">
        <v>422</v>
      </c>
      <c r="O122" s="23" t="s">
        <v>136</v>
      </c>
      <c r="P122" s="4" t="s">
        <v>462</v>
      </c>
      <c r="Q122" s="4" t="s">
        <v>155</v>
      </c>
      <c r="R122" s="4" t="s">
        <v>695</v>
      </c>
      <c r="S122" s="4"/>
      <c r="T122" s="4"/>
      <c r="U122" s="4" t="s">
        <v>696</v>
      </c>
      <c r="V122" s="23"/>
      <c r="W122" s="23"/>
      <c r="X122" s="23"/>
      <c r="Y122" s="23"/>
      <c r="Z122" s="23"/>
      <c r="AA122" s="23"/>
      <c r="AB122" s="23"/>
      <c r="AC122" s="4" t="s">
        <v>716</v>
      </c>
      <c r="AD122" s="26" t="n">
        <f aca="false">COUNTA(V122:AA122)</f>
        <v>0</v>
      </c>
      <c r="AE122" s="27"/>
      <c r="AF122" s="27" t="s">
        <v>34</v>
      </c>
      <c r="AG122" s="28"/>
      <c r="AH122" s="27"/>
      <c r="AI122" s="27"/>
      <c r="AJ122" s="27"/>
      <c r="AK122" s="27"/>
      <c r="AL122" s="28"/>
      <c r="AM122" s="28"/>
      <c r="AN122" s="29"/>
      <c r="AO122" s="4" t="str">
        <f aca="false">IFERROR(INDEX(Playbook!$C$4:$C$17,MATCH($AF122,Playbook!$A$4:$A$17,0)),"")</f>
        <v>Read the row: tier, segment, trigger, reason we lose them. Check contact coverage; if 0, enrich before anything else.</v>
      </c>
      <c r="AP122" s="23" t="str">
        <f aca="false">IFERROR(INDEX(Playbook!$D$4:$D$17,MATCH($AF122,Playbook!$A$4:$A$17,0)),"")</f>
        <v>—</v>
      </c>
      <c r="AQ122" s="4" t="str">
        <f aca="false">IFERROR(INDEX(Playbook!$E$4:$E$17,MATCH($AF122,Playbook!$A$4:$A$17,0)),"")</f>
        <v>Row read and a contact channel exists</v>
      </c>
      <c r="AR122" s="30" t="n">
        <f aca="false">IFERROR(INDEX(Playbook!$G$4:$G$17,MATCH($AF122,Playbook!$A$4:$A$17,0)),0)</f>
        <v>0</v>
      </c>
      <c r="AS122" s="31" t="n">
        <f aca="false">IFERROR(INDEX('Pricing &amp; Pilot'!$D$4:$D$6,MATCH($D122,'Pricing &amp; Pilot'!$A$4:$A$6,0)),0)</f>
        <v>0</v>
      </c>
      <c r="AT122" s="31" t="n">
        <f aca="false">AS122*AR122</f>
        <v>0</v>
      </c>
      <c r="AU122" s="23" t="str">
        <f aca="true">IF(AL122="","",TODAY()-AL122)</f>
        <v/>
      </c>
      <c r="AV122" s="23" t="str">
        <f aca="true">IF(AM122="","",IF(AND(AM122&lt;TODAY(),$AF122&lt;&gt;"Customer",$AF122&lt;&gt;"Lost",$AF122&lt;&gt;"Not a fit"),"OVERDUE",""))</f>
        <v/>
      </c>
      <c r="AW122" s="23" t="str">
        <f aca="false">IF(AV122="OVERDUE","RED",IF($AF122="Not started","—",IF($AF122="Customer","GREEN",IF(OR($AF122="Lost",$AF122="Not a fit"),"CLOSED","AMBER"))))</f>
        <v>—</v>
      </c>
    </row>
    <row r="123" customFormat="false" ht="48" hidden="false" customHeight="true" outlineLevel="0" collapsed="false">
      <c r="A123" s="23" t="n">
        <v>122</v>
      </c>
      <c r="B123" s="34" t="s">
        <v>454</v>
      </c>
      <c r="C123" s="23" t="str">
        <f aca="false">IF(OR(B123="A",B123="B"),"Yes","No")</f>
        <v>No</v>
      </c>
      <c r="D123" s="23"/>
      <c r="E123" s="23" t="s">
        <v>717</v>
      </c>
      <c r="F123" s="23" t="s">
        <v>718</v>
      </c>
      <c r="G123" s="23"/>
      <c r="H123" s="23"/>
      <c r="I123" s="4"/>
      <c r="J123" s="23" t="s">
        <v>719</v>
      </c>
      <c r="K123" s="23" t="s">
        <v>517</v>
      </c>
      <c r="L123" s="23" t="s">
        <v>134</v>
      </c>
      <c r="M123" s="25" t="n">
        <v>49.2</v>
      </c>
      <c r="N123" s="23" t="s">
        <v>422</v>
      </c>
      <c r="O123" s="23" t="s">
        <v>136</v>
      </c>
      <c r="P123" s="4" t="s">
        <v>468</v>
      </c>
      <c r="Q123" s="4" t="s">
        <v>155</v>
      </c>
      <c r="R123" s="4" t="s">
        <v>720</v>
      </c>
      <c r="S123" s="4"/>
      <c r="T123" s="4"/>
      <c r="U123" s="4" t="s">
        <v>721</v>
      </c>
      <c r="V123" s="23"/>
      <c r="W123" s="23"/>
      <c r="X123" s="23"/>
      <c r="Y123" s="23"/>
      <c r="Z123" s="23"/>
      <c r="AA123" s="23"/>
      <c r="AB123" s="23"/>
      <c r="AC123" s="4" t="s">
        <v>722</v>
      </c>
      <c r="AD123" s="26" t="n">
        <f aca="false">COUNTA(V123:AA123)</f>
        <v>0</v>
      </c>
      <c r="AE123" s="27"/>
      <c r="AF123" s="27" t="s">
        <v>34</v>
      </c>
      <c r="AG123" s="28"/>
      <c r="AH123" s="27"/>
      <c r="AI123" s="27"/>
      <c r="AJ123" s="27"/>
      <c r="AK123" s="27"/>
      <c r="AL123" s="28"/>
      <c r="AM123" s="28"/>
      <c r="AN123" s="29"/>
      <c r="AO123" s="4" t="str">
        <f aca="false">IFERROR(INDEX(Playbook!$C$4:$C$17,MATCH($AF123,Playbook!$A$4:$A$17,0)),"")</f>
        <v>Read the row: tier, segment, trigger, reason we lose them. Check contact coverage; if 0, enrich before anything else.</v>
      </c>
      <c r="AP123" s="23" t="str">
        <f aca="false">IFERROR(INDEX(Playbook!$D$4:$D$17,MATCH($AF123,Playbook!$A$4:$A$17,0)),"")</f>
        <v>—</v>
      </c>
      <c r="AQ123" s="4" t="str">
        <f aca="false">IFERROR(INDEX(Playbook!$E$4:$E$17,MATCH($AF123,Playbook!$A$4:$A$17,0)),"")</f>
        <v>Row read and a contact channel exists</v>
      </c>
      <c r="AR123" s="30" t="n">
        <f aca="false">IFERROR(INDEX(Playbook!$G$4:$G$17,MATCH($AF123,Playbook!$A$4:$A$17,0)),0)</f>
        <v>0</v>
      </c>
      <c r="AS123" s="31" t="n">
        <f aca="false">IFERROR(INDEX('Pricing &amp; Pilot'!$D$4:$D$6,MATCH($D123,'Pricing &amp; Pilot'!$A$4:$A$6,0)),0)</f>
        <v>0</v>
      </c>
      <c r="AT123" s="31" t="n">
        <f aca="false">AS123*AR123</f>
        <v>0</v>
      </c>
      <c r="AU123" s="23" t="str">
        <f aca="true">IF(AL123="","",TODAY()-AL123)</f>
        <v/>
      </c>
      <c r="AV123" s="23" t="str">
        <f aca="true">IF(AM123="","",IF(AND(AM123&lt;TODAY(),$AF123&lt;&gt;"Customer",$AF123&lt;&gt;"Lost",$AF123&lt;&gt;"Not a fit"),"OVERDUE",""))</f>
        <v/>
      </c>
      <c r="AW123" s="23" t="str">
        <f aca="false">IF(AV123="OVERDUE","RED",IF($AF123="Not started","—",IF($AF123="Customer","GREEN",IF(OR($AF123="Lost",$AF123="Not a fit"),"CLOSED","AMBER"))))</f>
        <v>—</v>
      </c>
    </row>
    <row r="124" customFormat="false" ht="48" hidden="false" customHeight="true" outlineLevel="0" collapsed="false">
      <c r="A124" s="23" t="n">
        <v>123</v>
      </c>
      <c r="B124" s="34" t="s">
        <v>454</v>
      </c>
      <c r="C124" s="23" t="str">
        <f aca="false">IF(OR(B124="A",B124="B"),"Yes","No")</f>
        <v>No</v>
      </c>
      <c r="D124" s="23"/>
      <c r="E124" s="23" t="s">
        <v>723</v>
      </c>
      <c r="F124" s="23" t="s">
        <v>723</v>
      </c>
      <c r="G124" s="23"/>
      <c r="H124" s="23"/>
      <c r="I124" s="4"/>
      <c r="J124" s="23" t="s">
        <v>719</v>
      </c>
      <c r="K124" s="23" t="s">
        <v>134</v>
      </c>
      <c r="L124" s="23" t="s">
        <v>134</v>
      </c>
      <c r="M124" s="25" t="n">
        <v>49.2</v>
      </c>
      <c r="N124" s="23" t="s">
        <v>422</v>
      </c>
      <c r="O124" s="23" t="s">
        <v>136</v>
      </c>
      <c r="P124" s="4" t="s">
        <v>468</v>
      </c>
      <c r="Q124" s="4" t="s">
        <v>155</v>
      </c>
      <c r="R124" s="4" t="s">
        <v>720</v>
      </c>
      <c r="S124" s="4"/>
      <c r="T124" s="4"/>
      <c r="U124" s="4" t="s">
        <v>721</v>
      </c>
      <c r="V124" s="23"/>
      <c r="W124" s="23"/>
      <c r="X124" s="23" t="s">
        <v>724</v>
      </c>
      <c r="Y124" s="23"/>
      <c r="Z124" s="23"/>
      <c r="AA124" s="23"/>
      <c r="AB124" s="23"/>
      <c r="AC124" s="4" t="s">
        <v>725</v>
      </c>
      <c r="AD124" s="26" t="n">
        <f aca="false">COUNTA(V124:AA124)</f>
        <v>1</v>
      </c>
      <c r="AE124" s="27"/>
      <c r="AF124" s="27" t="s">
        <v>34</v>
      </c>
      <c r="AG124" s="28"/>
      <c r="AH124" s="27"/>
      <c r="AI124" s="27"/>
      <c r="AJ124" s="27"/>
      <c r="AK124" s="27"/>
      <c r="AL124" s="28"/>
      <c r="AM124" s="28"/>
      <c r="AN124" s="29"/>
      <c r="AO124" s="4" t="str">
        <f aca="false">IFERROR(INDEX(Playbook!$C$4:$C$17,MATCH($AF124,Playbook!$A$4:$A$17,0)),"")</f>
        <v>Read the row: tier, segment, trigger, reason we lose them. Check contact coverage; if 0, enrich before anything else.</v>
      </c>
      <c r="AP124" s="23" t="str">
        <f aca="false">IFERROR(INDEX(Playbook!$D$4:$D$17,MATCH($AF124,Playbook!$A$4:$A$17,0)),"")</f>
        <v>—</v>
      </c>
      <c r="AQ124" s="4" t="str">
        <f aca="false">IFERROR(INDEX(Playbook!$E$4:$E$17,MATCH($AF124,Playbook!$A$4:$A$17,0)),"")</f>
        <v>Row read and a contact channel exists</v>
      </c>
      <c r="AR124" s="30" t="n">
        <f aca="false">IFERROR(INDEX(Playbook!$G$4:$G$17,MATCH($AF124,Playbook!$A$4:$A$17,0)),0)</f>
        <v>0</v>
      </c>
      <c r="AS124" s="31" t="n">
        <f aca="false">IFERROR(INDEX('Pricing &amp; Pilot'!$D$4:$D$6,MATCH($D124,'Pricing &amp; Pilot'!$A$4:$A$6,0)),0)</f>
        <v>0</v>
      </c>
      <c r="AT124" s="31" t="n">
        <f aca="false">AS124*AR124</f>
        <v>0</v>
      </c>
      <c r="AU124" s="23" t="str">
        <f aca="true">IF(AL124="","",TODAY()-AL124)</f>
        <v/>
      </c>
      <c r="AV124" s="23" t="str">
        <f aca="true">IF(AM124="","",IF(AND(AM124&lt;TODAY(),$AF124&lt;&gt;"Customer",$AF124&lt;&gt;"Lost",$AF124&lt;&gt;"Not a fit"),"OVERDUE",""))</f>
        <v/>
      </c>
      <c r="AW124" s="23" t="str">
        <f aca="false">IF(AV124="OVERDUE","RED",IF($AF124="Not started","—",IF($AF124="Customer","GREEN",IF(OR($AF124="Lost",$AF124="Not a fit"),"CLOSED","AMBER"))))</f>
        <v>—</v>
      </c>
    </row>
    <row r="125" customFormat="false" ht="48" hidden="false" customHeight="true" outlineLevel="0" collapsed="false">
      <c r="A125" s="23" t="n">
        <v>124</v>
      </c>
      <c r="B125" s="34" t="s">
        <v>454</v>
      </c>
      <c r="C125" s="23" t="str">
        <f aca="false">IF(OR(B125="A",B125="B"),"Yes","No")</f>
        <v>No</v>
      </c>
      <c r="D125" s="23"/>
      <c r="E125" s="23" t="s">
        <v>726</v>
      </c>
      <c r="F125" s="23" t="s">
        <v>726</v>
      </c>
      <c r="G125" s="23"/>
      <c r="H125" s="23"/>
      <c r="I125" s="4"/>
      <c r="J125" s="23" t="s">
        <v>719</v>
      </c>
      <c r="K125" s="23" t="s">
        <v>256</v>
      </c>
      <c r="L125" s="23" t="s">
        <v>134</v>
      </c>
      <c r="M125" s="25" t="n">
        <v>49.2</v>
      </c>
      <c r="N125" s="23" t="s">
        <v>422</v>
      </c>
      <c r="O125" s="23" t="s">
        <v>136</v>
      </c>
      <c r="P125" s="4" t="s">
        <v>462</v>
      </c>
      <c r="Q125" s="4" t="s">
        <v>155</v>
      </c>
      <c r="R125" s="4" t="s">
        <v>720</v>
      </c>
      <c r="S125" s="4"/>
      <c r="T125" s="4"/>
      <c r="U125" s="4" t="s">
        <v>721</v>
      </c>
      <c r="V125" s="23"/>
      <c r="W125" s="23"/>
      <c r="X125" s="23"/>
      <c r="Y125" s="23"/>
      <c r="Z125" s="23"/>
      <c r="AA125" s="23"/>
      <c r="AB125" s="23"/>
      <c r="AC125" s="4" t="s">
        <v>727</v>
      </c>
      <c r="AD125" s="26" t="n">
        <f aca="false">COUNTA(V125:AA125)</f>
        <v>0</v>
      </c>
      <c r="AE125" s="27"/>
      <c r="AF125" s="27" t="s">
        <v>34</v>
      </c>
      <c r="AG125" s="28"/>
      <c r="AH125" s="27"/>
      <c r="AI125" s="27"/>
      <c r="AJ125" s="27"/>
      <c r="AK125" s="27"/>
      <c r="AL125" s="28"/>
      <c r="AM125" s="28"/>
      <c r="AN125" s="29"/>
      <c r="AO125" s="4" t="str">
        <f aca="false">IFERROR(INDEX(Playbook!$C$4:$C$17,MATCH($AF125,Playbook!$A$4:$A$17,0)),"")</f>
        <v>Read the row: tier, segment, trigger, reason we lose them. Check contact coverage; if 0, enrich before anything else.</v>
      </c>
      <c r="AP125" s="23" t="str">
        <f aca="false">IFERROR(INDEX(Playbook!$D$4:$D$17,MATCH($AF125,Playbook!$A$4:$A$17,0)),"")</f>
        <v>—</v>
      </c>
      <c r="AQ125" s="4" t="str">
        <f aca="false">IFERROR(INDEX(Playbook!$E$4:$E$17,MATCH($AF125,Playbook!$A$4:$A$17,0)),"")</f>
        <v>Row read and a contact channel exists</v>
      </c>
      <c r="AR125" s="30" t="n">
        <f aca="false">IFERROR(INDEX(Playbook!$G$4:$G$17,MATCH($AF125,Playbook!$A$4:$A$17,0)),0)</f>
        <v>0</v>
      </c>
      <c r="AS125" s="31" t="n">
        <f aca="false">IFERROR(INDEX('Pricing &amp; Pilot'!$D$4:$D$6,MATCH($D125,'Pricing &amp; Pilot'!$A$4:$A$6,0)),0)</f>
        <v>0</v>
      </c>
      <c r="AT125" s="31" t="n">
        <f aca="false">AS125*AR125</f>
        <v>0</v>
      </c>
      <c r="AU125" s="23" t="str">
        <f aca="true">IF(AL125="","",TODAY()-AL125)</f>
        <v/>
      </c>
      <c r="AV125" s="23" t="str">
        <f aca="true">IF(AM125="","",IF(AND(AM125&lt;TODAY(),$AF125&lt;&gt;"Customer",$AF125&lt;&gt;"Lost",$AF125&lt;&gt;"Not a fit"),"OVERDUE",""))</f>
        <v/>
      </c>
      <c r="AW125" s="23" t="str">
        <f aca="false">IF(AV125="OVERDUE","RED",IF($AF125="Not started","—",IF($AF125="Customer","GREEN",IF(OR($AF125="Lost",$AF125="Not a fit"),"CLOSED","AMBER"))))</f>
        <v>—</v>
      </c>
    </row>
    <row r="126" customFormat="false" ht="48" hidden="false" customHeight="true" outlineLevel="0" collapsed="false">
      <c r="A126" s="23" t="n">
        <v>125</v>
      </c>
      <c r="B126" s="34" t="s">
        <v>454</v>
      </c>
      <c r="C126" s="23" t="str">
        <f aca="false">IF(OR(B126="A",B126="B"),"Yes","No")</f>
        <v>No</v>
      </c>
      <c r="D126" s="23"/>
      <c r="E126" s="23" t="s">
        <v>728</v>
      </c>
      <c r="F126" s="23" t="s">
        <v>728</v>
      </c>
      <c r="G126" s="23"/>
      <c r="H126" s="23"/>
      <c r="I126" s="4"/>
      <c r="J126" s="23" t="s">
        <v>719</v>
      </c>
      <c r="K126" s="23" t="s">
        <v>256</v>
      </c>
      <c r="L126" s="23" t="s">
        <v>134</v>
      </c>
      <c r="M126" s="25" t="n">
        <v>49.2</v>
      </c>
      <c r="N126" s="23" t="s">
        <v>422</v>
      </c>
      <c r="O126" s="23" t="s">
        <v>136</v>
      </c>
      <c r="P126" s="4" t="s">
        <v>462</v>
      </c>
      <c r="Q126" s="4" t="s">
        <v>155</v>
      </c>
      <c r="R126" s="4" t="s">
        <v>720</v>
      </c>
      <c r="S126" s="4"/>
      <c r="T126" s="4"/>
      <c r="U126" s="4" t="s">
        <v>721</v>
      </c>
      <c r="V126" s="23"/>
      <c r="W126" s="23"/>
      <c r="X126" s="23"/>
      <c r="Y126" s="23"/>
      <c r="Z126" s="23"/>
      <c r="AA126" s="23"/>
      <c r="AB126" s="23"/>
      <c r="AC126" s="4" t="s">
        <v>729</v>
      </c>
      <c r="AD126" s="26" t="n">
        <f aca="false">COUNTA(V126:AA126)</f>
        <v>0</v>
      </c>
      <c r="AE126" s="27"/>
      <c r="AF126" s="27" t="s">
        <v>34</v>
      </c>
      <c r="AG126" s="28"/>
      <c r="AH126" s="27"/>
      <c r="AI126" s="27"/>
      <c r="AJ126" s="27"/>
      <c r="AK126" s="27"/>
      <c r="AL126" s="28"/>
      <c r="AM126" s="28"/>
      <c r="AN126" s="29"/>
      <c r="AO126" s="4" t="str">
        <f aca="false">IFERROR(INDEX(Playbook!$C$4:$C$17,MATCH($AF126,Playbook!$A$4:$A$17,0)),"")</f>
        <v>Read the row: tier, segment, trigger, reason we lose them. Check contact coverage; if 0, enrich before anything else.</v>
      </c>
      <c r="AP126" s="23" t="str">
        <f aca="false">IFERROR(INDEX(Playbook!$D$4:$D$17,MATCH($AF126,Playbook!$A$4:$A$17,0)),"")</f>
        <v>—</v>
      </c>
      <c r="AQ126" s="4" t="str">
        <f aca="false">IFERROR(INDEX(Playbook!$E$4:$E$17,MATCH($AF126,Playbook!$A$4:$A$17,0)),"")</f>
        <v>Row read and a contact channel exists</v>
      </c>
      <c r="AR126" s="30" t="n">
        <f aca="false">IFERROR(INDEX(Playbook!$G$4:$G$17,MATCH($AF126,Playbook!$A$4:$A$17,0)),0)</f>
        <v>0</v>
      </c>
      <c r="AS126" s="31" t="n">
        <f aca="false">IFERROR(INDEX('Pricing &amp; Pilot'!$D$4:$D$6,MATCH($D126,'Pricing &amp; Pilot'!$A$4:$A$6,0)),0)</f>
        <v>0</v>
      </c>
      <c r="AT126" s="31" t="n">
        <f aca="false">AS126*AR126</f>
        <v>0</v>
      </c>
      <c r="AU126" s="23" t="str">
        <f aca="true">IF(AL126="","",TODAY()-AL126)</f>
        <v/>
      </c>
      <c r="AV126" s="23" t="str">
        <f aca="true">IF(AM126="","",IF(AND(AM126&lt;TODAY(),$AF126&lt;&gt;"Customer",$AF126&lt;&gt;"Lost",$AF126&lt;&gt;"Not a fit"),"OVERDUE",""))</f>
        <v/>
      </c>
      <c r="AW126" s="23" t="str">
        <f aca="false">IF(AV126="OVERDUE","RED",IF($AF126="Not started","—",IF($AF126="Customer","GREEN",IF(OR($AF126="Lost",$AF126="Not a fit"),"CLOSED","AMBER"))))</f>
        <v>—</v>
      </c>
    </row>
    <row r="127" customFormat="false" ht="48" hidden="false" customHeight="true" outlineLevel="0" collapsed="false">
      <c r="A127" s="23" t="n">
        <v>126</v>
      </c>
      <c r="B127" s="34" t="s">
        <v>454</v>
      </c>
      <c r="C127" s="23" t="str">
        <f aca="false">IF(OR(B127="A",B127="B"),"Yes","No")</f>
        <v>No</v>
      </c>
      <c r="D127" s="23"/>
      <c r="E127" s="23" t="s">
        <v>730</v>
      </c>
      <c r="F127" s="23" t="s">
        <v>730</v>
      </c>
      <c r="G127" s="23"/>
      <c r="H127" s="23"/>
      <c r="I127" s="4"/>
      <c r="J127" s="23" t="s">
        <v>719</v>
      </c>
      <c r="K127" s="23" t="s">
        <v>134</v>
      </c>
      <c r="L127" s="23" t="s">
        <v>134</v>
      </c>
      <c r="M127" s="25" t="n">
        <v>49.2</v>
      </c>
      <c r="N127" s="23" t="s">
        <v>422</v>
      </c>
      <c r="O127" s="23" t="s">
        <v>136</v>
      </c>
      <c r="P127" s="4" t="s">
        <v>462</v>
      </c>
      <c r="Q127" s="4" t="s">
        <v>155</v>
      </c>
      <c r="R127" s="4" t="s">
        <v>720</v>
      </c>
      <c r="S127" s="4"/>
      <c r="T127" s="4"/>
      <c r="U127" s="4" t="s">
        <v>721</v>
      </c>
      <c r="V127" s="23"/>
      <c r="W127" s="23"/>
      <c r="X127" s="23"/>
      <c r="Y127" s="23"/>
      <c r="Z127" s="23"/>
      <c r="AA127" s="23"/>
      <c r="AB127" s="23"/>
      <c r="AC127" s="4" t="s">
        <v>731</v>
      </c>
      <c r="AD127" s="26" t="n">
        <f aca="false">COUNTA(V127:AA127)</f>
        <v>0</v>
      </c>
      <c r="AE127" s="27"/>
      <c r="AF127" s="27" t="s">
        <v>34</v>
      </c>
      <c r="AG127" s="28"/>
      <c r="AH127" s="27"/>
      <c r="AI127" s="27"/>
      <c r="AJ127" s="27"/>
      <c r="AK127" s="27"/>
      <c r="AL127" s="28"/>
      <c r="AM127" s="28"/>
      <c r="AN127" s="29"/>
      <c r="AO127" s="4" t="str">
        <f aca="false">IFERROR(INDEX(Playbook!$C$4:$C$17,MATCH($AF127,Playbook!$A$4:$A$17,0)),"")</f>
        <v>Read the row: tier, segment, trigger, reason we lose them. Check contact coverage; if 0, enrich before anything else.</v>
      </c>
      <c r="AP127" s="23" t="str">
        <f aca="false">IFERROR(INDEX(Playbook!$D$4:$D$17,MATCH($AF127,Playbook!$A$4:$A$17,0)),"")</f>
        <v>—</v>
      </c>
      <c r="AQ127" s="4" t="str">
        <f aca="false">IFERROR(INDEX(Playbook!$E$4:$E$17,MATCH($AF127,Playbook!$A$4:$A$17,0)),"")</f>
        <v>Row read and a contact channel exists</v>
      </c>
      <c r="AR127" s="30" t="n">
        <f aca="false">IFERROR(INDEX(Playbook!$G$4:$G$17,MATCH($AF127,Playbook!$A$4:$A$17,0)),0)</f>
        <v>0</v>
      </c>
      <c r="AS127" s="31" t="n">
        <f aca="false">IFERROR(INDEX('Pricing &amp; Pilot'!$D$4:$D$6,MATCH($D127,'Pricing &amp; Pilot'!$A$4:$A$6,0)),0)</f>
        <v>0</v>
      </c>
      <c r="AT127" s="31" t="n">
        <f aca="false">AS127*AR127</f>
        <v>0</v>
      </c>
      <c r="AU127" s="23" t="str">
        <f aca="true">IF(AL127="","",TODAY()-AL127)</f>
        <v/>
      </c>
      <c r="AV127" s="23" t="str">
        <f aca="true">IF(AM127="","",IF(AND(AM127&lt;TODAY(),$AF127&lt;&gt;"Customer",$AF127&lt;&gt;"Lost",$AF127&lt;&gt;"Not a fit"),"OVERDUE",""))</f>
        <v/>
      </c>
      <c r="AW127" s="23" t="str">
        <f aca="false">IF(AV127="OVERDUE","RED",IF($AF127="Not started","—",IF($AF127="Customer","GREEN",IF(OR($AF127="Lost",$AF127="Not a fit"),"CLOSED","AMBER"))))</f>
        <v>—</v>
      </c>
    </row>
    <row r="128" customFormat="false" ht="48" hidden="false" customHeight="true" outlineLevel="0" collapsed="false">
      <c r="A128" s="23" t="n">
        <v>127</v>
      </c>
      <c r="B128" s="34" t="s">
        <v>454</v>
      </c>
      <c r="C128" s="23" t="str">
        <f aca="false">IF(OR(B128="A",B128="B"),"Yes","No")</f>
        <v>No</v>
      </c>
      <c r="D128" s="23"/>
      <c r="E128" s="23" t="s">
        <v>732</v>
      </c>
      <c r="F128" s="23" t="s">
        <v>732</v>
      </c>
      <c r="G128" s="23"/>
      <c r="H128" s="23"/>
      <c r="I128" s="4"/>
      <c r="J128" s="23" t="s">
        <v>719</v>
      </c>
      <c r="K128" s="23" t="s">
        <v>265</v>
      </c>
      <c r="L128" s="23" t="s">
        <v>134</v>
      </c>
      <c r="M128" s="25" t="n">
        <v>49.2</v>
      </c>
      <c r="N128" s="23" t="s">
        <v>422</v>
      </c>
      <c r="O128" s="23" t="s">
        <v>136</v>
      </c>
      <c r="P128" s="4" t="s">
        <v>462</v>
      </c>
      <c r="Q128" s="4" t="s">
        <v>155</v>
      </c>
      <c r="R128" s="4" t="s">
        <v>720</v>
      </c>
      <c r="S128" s="4"/>
      <c r="T128" s="4"/>
      <c r="U128" s="4" t="s">
        <v>721</v>
      </c>
      <c r="V128" s="23"/>
      <c r="W128" s="23"/>
      <c r="X128" s="23"/>
      <c r="Y128" s="23"/>
      <c r="Z128" s="23"/>
      <c r="AA128" s="23"/>
      <c r="AB128" s="23"/>
      <c r="AC128" s="4" t="s">
        <v>733</v>
      </c>
      <c r="AD128" s="26" t="n">
        <f aca="false">COUNTA(V128:AA128)</f>
        <v>0</v>
      </c>
      <c r="AE128" s="27"/>
      <c r="AF128" s="27" t="s">
        <v>34</v>
      </c>
      <c r="AG128" s="28"/>
      <c r="AH128" s="27"/>
      <c r="AI128" s="27"/>
      <c r="AJ128" s="27"/>
      <c r="AK128" s="27"/>
      <c r="AL128" s="28"/>
      <c r="AM128" s="28"/>
      <c r="AN128" s="29"/>
      <c r="AO128" s="4" t="str">
        <f aca="false">IFERROR(INDEX(Playbook!$C$4:$C$17,MATCH($AF128,Playbook!$A$4:$A$17,0)),"")</f>
        <v>Read the row: tier, segment, trigger, reason we lose them. Check contact coverage; if 0, enrich before anything else.</v>
      </c>
      <c r="AP128" s="23" t="str">
        <f aca="false">IFERROR(INDEX(Playbook!$D$4:$D$17,MATCH($AF128,Playbook!$A$4:$A$17,0)),"")</f>
        <v>—</v>
      </c>
      <c r="AQ128" s="4" t="str">
        <f aca="false">IFERROR(INDEX(Playbook!$E$4:$E$17,MATCH($AF128,Playbook!$A$4:$A$17,0)),"")</f>
        <v>Row read and a contact channel exists</v>
      </c>
      <c r="AR128" s="30" t="n">
        <f aca="false">IFERROR(INDEX(Playbook!$G$4:$G$17,MATCH($AF128,Playbook!$A$4:$A$17,0)),0)</f>
        <v>0</v>
      </c>
      <c r="AS128" s="31" t="n">
        <f aca="false">IFERROR(INDEX('Pricing &amp; Pilot'!$D$4:$D$6,MATCH($D128,'Pricing &amp; Pilot'!$A$4:$A$6,0)),0)</f>
        <v>0</v>
      </c>
      <c r="AT128" s="31" t="n">
        <f aca="false">AS128*AR128</f>
        <v>0</v>
      </c>
      <c r="AU128" s="23" t="str">
        <f aca="true">IF(AL128="","",TODAY()-AL128)</f>
        <v/>
      </c>
      <c r="AV128" s="23" t="str">
        <f aca="true">IF(AM128="","",IF(AND(AM128&lt;TODAY(),$AF128&lt;&gt;"Customer",$AF128&lt;&gt;"Lost",$AF128&lt;&gt;"Not a fit"),"OVERDUE",""))</f>
        <v/>
      </c>
      <c r="AW128" s="23" t="str">
        <f aca="false">IF(AV128="OVERDUE","RED",IF($AF128="Not started","—",IF($AF128="Customer","GREEN",IF(OR($AF128="Lost",$AF128="Not a fit"),"CLOSED","AMBER"))))</f>
        <v>—</v>
      </c>
    </row>
    <row r="129" customFormat="false" ht="48" hidden="false" customHeight="true" outlineLevel="0" collapsed="false">
      <c r="A129" s="23" t="n">
        <v>128</v>
      </c>
      <c r="B129" s="34" t="s">
        <v>454</v>
      </c>
      <c r="C129" s="23" t="str">
        <f aca="false">IF(OR(B129="A",B129="B"),"Yes","No")</f>
        <v>No</v>
      </c>
      <c r="D129" s="23"/>
      <c r="E129" s="23" t="s">
        <v>734</v>
      </c>
      <c r="F129" s="23" t="s">
        <v>735</v>
      </c>
      <c r="G129" s="23"/>
      <c r="H129" s="23"/>
      <c r="I129" s="4"/>
      <c r="J129" s="23" t="s">
        <v>736</v>
      </c>
      <c r="K129" s="23" t="s">
        <v>134</v>
      </c>
      <c r="L129" s="23" t="s">
        <v>134</v>
      </c>
      <c r="M129" s="25" t="n">
        <v>0</v>
      </c>
      <c r="N129" s="23" t="s">
        <v>736</v>
      </c>
      <c r="O129" s="23" t="s">
        <v>737</v>
      </c>
      <c r="P129" s="4"/>
      <c r="Q129" s="4" t="s">
        <v>738</v>
      </c>
      <c r="R129" s="4" t="s">
        <v>739</v>
      </c>
      <c r="S129" s="4"/>
      <c r="T129" s="4"/>
      <c r="U129" s="4" t="s">
        <v>740</v>
      </c>
      <c r="V129" s="23"/>
      <c r="W129" s="23"/>
      <c r="X129" s="23"/>
      <c r="Y129" s="23"/>
      <c r="Z129" s="23"/>
      <c r="AA129" s="23"/>
      <c r="AB129" s="23"/>
      <c r="AC129" s="4" t="s">
        <v>741</v>
      </c>
      <c r="AD129" s="26" t="n">
        <f aca="false">COUNTA(V129:AA129)</f>
        <v>0</v>
      </c>
      <c r="AE129" s="27"/>
      <c r="AF129" s="27" t="s">
        <v>34</v>
      </c>
      <c r="AG129" s="28"/>
      <c r="AH129" s="27"/>
      <c r="AI129" s="27"/>
      <c r="AJ129" s="27"/>
      <c r="AK129" s="27"/>
      <c r="AL129" s="28"/>
      <c r="AM129" s="28"/>
      <c r="AN129" s="29"/>
      <c r="AO129" s="4" t="str">
        <f aca="false">IFERROR(INDEX(Playbook!$C$4:$C$17,MATCH($AF129,Playbook!$A$4:$A$17,0)),"")</f>
        <v>Read the row: tier, segment, trigger, reason we lose them. Check contact coverage; if 0, enrich before anything else.</v>
      </c>
      <c r="AP129" s="23" t="str">
        <f aca="false">IFERROR(INDEX(Playbook!$D$4:$D$17,MATCH($AF129,Playbook!$A$4:$A$17,0)),"")</f>
        <v>—</v>
      </c>
      <c r="AQ129" s="4" t="str">
        <f aca="false">IFERROR(INDEX(Playbook!$E$4:$E$17,MATCH($AF129,Playbook!$A$4:$A$17,0)),"")</f>
        <v>Row read and a contact channel exists</v>
      </c>
      <c r="AR129" s="30" t="n">
        <f aca="false">IFERROR(INDEX(Playbook!$G$4:$G$17,MATCH($AF129,Playbook!$A$4:$A$17,0)),0)</f>
        <v>0</v>
      </c>
      <c r="AS129" s="31" t="n">
        <f aca="false">IFERROR(INDEX('Pricing &amp; Pilot'!$D$4:$D$6,MATCH($D129,'Pricing &amp; Pilot'!$A$4:$A$6,0)),0)</f>
        <v>0</v>
      </c>
      <c r="AT129" s="31" t="n">
        <f aca="false">AS129*AR129</f>
        <v>0</v>
      </c>
      <c r="AU129" s="23" t="str">
        <f aca="true">IF(AL129="","",TODAY()-AL129)</f>
        <v/>
      </c>
      <c r="AV129" s="23" t="str">
        <f aca="true">IF(AM129="","",IF(AND(AM129&lt;TODAY(),$AF129&lt;&gt;"Customer",$AF129&lt;&gt;"Lost",$AF129&lt;&gt;"Not a fit"),"OVERDUE",""))</f>
        <v/>
      </c>
      <c r="AW129" s="23" t="str">
        <f aca="false">IF(AV129="OVERDUE","RED",IF($AF129="Not started","—",IF($AF129="Customer","GREEN",IF(OR($AF129="Lost",$AF129="Not a fit"),"CLOSED","AMBER"))))</f>
        <v>—</v>
      </c>
    </row>
  </sheetData>
  <autoFilter ref="A1:AW129"/>
  <conditionalFormatting sqref="A2:AW129">
    <cfRule type="expression" priority="2" aboveAverage="0" equalAverage="0" bottom="0" percent="0" rank="0" text="" dxfId="12">
      <formula>$AV2="OVERDUE"</formula>
    </cfRule>
    <cfRule type="expression" priority="3" aboveAverage="0" equalAverage="0" bottom="0" percent="0" rank="0" text="" dxfId="13">
      <formula>$C2="No"</formula>
    </cfRule>
  </conditionalFormatting>
  <conditionalFormatting sqref="AF2:AF129">
    <cfRule type="cellIs" priority="4" operator="equal" aboveAverage="0" equalAverage="0" bottom="0" percent="0" rank="0" text="" dxfId="14">
      <formula>"Customer"</formula>
    </cfRule>
    <cfRule type="cellIs" priority="5" operator="equal" aboveAverage="0" equalAverage="0" bottom="0" percent="0" rank="0" text="" dxfId="15">
      <formula>"Pilot running"</formula>
    </cfRule>
    <cfRule type="cellIs" priority="6" operator="equal" aboveAverage="0" equalAverage="0" bottom="0" percent="0" rank="0" text="" dxfId="16">
      <formula>"Demo on their data"</formula>
    </cfRule>
    <cfRule type="cellIs" priority="7" operator="equal" aboveAverage="0" equalAverage="0" bottom="0" percent="0" rank="0" text="" dxfId="17">
      <formula>"Lost"</formula>
    </cfRule>
    <cfRule type="cellIs" priority="8" operator="equal" aboveAverage="0" equalAverage="0" bottom="0" percent="0" rank="0" text="" dxfId="17">
      <formula>"Not a fit"</formula>
    </cfRule>
  </conditionalFormatting>
  <conditionalFormatting sqref="AD2:AD129">
    <cfRule type="cellIs" priority="9" operator="equal" aboveAverage="0" equalAverage="0" bottom="0" percent="0" rank="0" text="" dxfId="12">
      <formula>0</formula>
    </cfRule>
  </conditionalFormatting>
  <dataValidations count="4">
    <dataValidation allowBlank="true" errorStyle="stop" operator="between" showDropDown="false" showErrorMessage="false" showInputMessage="false" sqref="AF2:AF129" type="list">
      <formula1>Lists!$A$2:$A$15</formula1>
      <formula2>0</formula2>
    </dataValidation>
    <dataValidation allowBlank="true" errorStyle="stop" operator="between" showDropDown="false" showErrorMessage="false" showInputMessage="false" sqref="AE2:AE129" type="list">
      <formula1>Lists!$B$2:$B$4</formula1>
      <formula2>0</formula2>
    </dataValidation>
    <dataValidation allowBlank="true" errorStyle="stop" operator="between" showDropDown="false" showErrorMessage="false" showInputMessage="false" sqref="AJ2:AJ129" type="list">
      <formula1>Lists!$C$2:$C$3</formula1>
      <formula2>0</formula2>
    </dataValidation>
    <dataValidation allowBlank="true" errorStyle="stop" operator="between" showDropDown="false" showErrorMessage="false" showInputMessage="false" sqref="AG2:AG129 AL2:AM129"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60"/>
    <col collapsed="false" customWidth="true" hidden="false" outlineLevel="0" max="4" min="4" style="0" width="26"/>
    <col collapsed="false" customWidth="true" hidden="false" outlineLevel="0" max="5" min="5" style="0" width="44"/>
    <col collapsed="false" customWidth="true" hidden="false" outlineLevel="0" max="6" min="6" style="0" width="16"/>
    <col collapsed="false" customWidth="true" hidden="false" outlineLevel="0" max="7" min="7" style="0" width="11"/>
    <col collapsed="false" customWidth="true" hidden="false" outlineLevel="0" max="8" min="8" style="0" width="18"/>
    <col collapsed="false" customWidth="true" hidden="false" outlineLevel="0" max="9" min="9" style="0" width="30"/>
  </cols>
  <sheetData>
    <row r="1" customFormat="false" ht="19.7" hidden="false" customHeight="false" outlineLevel="0" collapsed="false">
      <c r="A1" s="1" t="s">
        <v>742</v>
      </c>
    </row>
    <row r="2" customFormat="false" ht="15" hidden="false" customHeight="false" outlineLevel="0" collapsed="false">
      <c r="A2" s="2" t="s">
        <v>743</v>
      </c>
    </row>
    <row r="3" customFormat="false" ht="30" hidden="false" customHeight="true" outlineLevel="0" collapsed="false">
      <c r="A3" s="17" t="s">
        <v>108</v>
      </c>
      <c r="B3" s="17" t="s">
        <v>744</v>
      </c>
      <c r="C3" s="17" t="s">
        <v>745</v>
      </c>
      <c r="D3" s="17" t="s">
        <v>746</v>
      </c>
      <c r="E3" s="17" t="s">
        <v>747</v>
      </c>
      <c r="F3" s="17" t="s">
        <v>748</v>
      </c>
      <c r="G3" s="17" t="s">
        <v>120</v>
      </c>
      <c r="H3" s="17" t="s">
        <v>749</v>
      </c>
      <c r="I3" s="17" t="s">
        <v>750</v>
      </c>
    </row>
    <row r="4" customFormat="false" ht="61.5" hidden="false" customHeight="true" outlineLevel="0" collapsed="false">
      <c r="A4" s="35" t="s">
        <v>34</v>
      </c>
      <c r="B4" s="35" t="s">
        <v>751</v>
      </c>
      <c r="C4" s="35" t="s">
        <v>752</v>
      </c>
      <c r="D4" s="35" t="s">
        <v>736</v>
      </c>
      <c r="E4" s="35" t="s">
        <v>753</v>
      </c>
      <c r="F4" s="35" t="s">
        <v>736</v>
      </c>
      <c r="G4" s="36" t="n">
        <v>0</v>
      </c>
      <c r="H4" s="35" t="s">
        <v>36</v>
      </c>
      <c r="I4" s="35" t="s">
        <v>736</v>
      </c>
    </row>
    <row r="5" customFormat="false" ht="61.5" hidden="false" customHeight="true" outlineLevel="0" collapsed="false">
      <c r="A5" s="35" t="s">
        <v>36</v>
      </c>
      <c r="B5" s="35" t="s">
        <v>754</v>
      </c>
      <c r="C5" s="35" t="s">
        <v>755</v>
      </c>
      <c r="D5" s="35" t="s">
        <v>756</v>
      </c>
      <c r="E5" s="35" t="s">
        <v>757</v>
      </c>
      <c r="F5" s="35" t="s">
        <v>758</v>
      </c>
      <c r="G5" s="36" t="n">
        <v>0.02</v>
      </c>
      <c r="H5" s="35" t="s">
        <v>38</v>
      </c>
      <c r="I5" s="35" t="s">
        <v>759</v>
      </c>
    </row>
    <row r="6" customFormat="false" ht="61.5" hidden="false" customHeight="true" outlineLevel="0" collapsed="false">
      <c r="A6" s="35" t="s">
        <v>38</v>
      </c>
      <c r="B6" s="35" t="s">
        <v>760</v>
      </c>
      <c r="C6" s="35" t="s">
        <v>761</v>
      </c>
      <c r="D6" s="35" t="s">
        <v>762</v>
      </c>
      <c r="E6" s="35" t="s">
        <v>763</v>
      </c>
      <c r="F6" s="35" t="s">
        <v>764</v>
      </c>
      <c r="G6" s="36" t="n">
        <v>0.05</v>
      </c>
      <c r="H6" s="35" t="s">
        <v>40</v>
      </c>
      <c r="I6" s="35" t="s">
        <v>765</v>
      </c>
    </row>
    <row r="7" customFormat="false" ht="61.5" hidden="false" customHeight="true" outlineLevel="0" collapsed="false">
      <c r="A7" s="35" t="s">
        <v>40</v>
      </c>
      <c r="B7" s="35" t="s">
        <v>766</v>
      </c>
      <c r="C7" s="35" t="s">
        <v>767</v>
      </c>
      <c r="D7" s="35" t="s">
        <v>768</v>
      </c>
      <c r="E7" s="35" t="s">
        <v>769</v>
      </c>
      <c r="F7" s="35" t="s">
        <v>770</v>
      </c>
      <c r="G7" s="36" t="n">
        <v>0.05</v>
      </c>
      <c r="H7" s="35" t="s">
        <v>43</v>
      </c>
      <c r="I7" s="35" t="s">
        <v>736</v>
      </c>
    </row>
    <row r="8" customFormat="false" ht="61.5" hidden="false" customHeight="true" outlineLevel="0" collapsed="false">
      <c r="A8" s="35" t="s">
        <v>43</v>
      </c>
      <c r="B8" s="35" t="s">
        <v>771</v>
      </c>
      <c r="C8" s="35" t="s">
        <v>772</v>
      </c>
      <c r="D8" s="35" t="s">
        <v>773</v>
      </c>
      <c r="E8" s="35" t="s">
        <v>774</v>
      </c>
      <c r="F8" s="35" t="s">
        <v>775</v>
      </c>
      <c r="G8" s="36" t="n">
        <v>0.08</v>
      </c>
      <c r="H8" s="35" t="s">
        <v>45</v>
      </c>
      <c r="I8" s="35" t="s">
        <v>776</v>
      </c>
    </row>
    <row r="9" customFormat="false" ht="61.5" hidden="false" customHeight="true" outlineLevel="0" collapsed="false">
      <c r="A9" s="35" t="s">
        <v>45</v>
      </c>
      <c r="B9" s="35" t="s">
        <v>777</v>
      </c>
      <c r="C9" s="35" t="s">
        <v>778</v>
      </c>
      <c r="D9" s="35" t="s">
        <v>779</v>
      </c>
      <c r="E9" s="35" t="s">
        <v>780</v>
      </c>
      <c r="F9" s="35" t="s">
        <v>781</v>
      </c>
      <c r="G9" s="36" t="n">
        <v>0.08</v>
      </c>
      <c r="H9" s="35" t="s">
        <v>48</v>
      </c>
      <c r="I9" s="35" t="s">
        <v>782</v>
      </c>
    </row>
    <row r="10" customFormat="false" ht="61.5" hidden="false" customHeight="true" outlineLevel="0" collapsed="false">
      <c r="A10" s="35" t="s">
        <v>48</v>
      </c>
      <c r="B10" s="35" t="s">
        <v>783</v>
      </c>
      <c r="C10" s="35" t="s">
        <v>784</v>
      </c>
      <c r="D10" s="35" t="s">
        <v>785</v>
      </c>
      <c r="E10" s="35" t="s">
        <v>786</v>
      </c>
      <c r="F10" s="35" t="s">
        <v>787</v>
      </c>
      <c r="G10" s="36" t="n">
        <v>0.15</v>
      </c>
      <c r="H10" s="35" t="s">
        <v>51</v>
      </c>
      <c r="I10" s="35" t="s">
        <v>788</v>
      </c>
    </row>
    <row r="11" customFormat="false" ht="61.5" hidden="false" customHeight="true" outlineLevel="0" collapsed="false">
      <c r="A11" s="35" t="s">
        <v>51</v>
      </c>
      <c r="B11" s="35" t="s">
        <v>789</v>
      </c>
      <c r="C11" s="35" t="s">
        <v>790</v>
      </c>
      <c r="D11" s="35" t="s">
        <v>791</v>
      </c>
      <c r="E11" s="35" t="s">
        <v>792</v>
      </c>
      <c r="F11" s="35" t="s">
        <v>793</v>
      </c>
      <c r="G11" s="36" t="n">
        <v>0.25</v>
      </c>
      <c r="H11" s="35" t="s">
        <v>54</v>
      </c>
      <c r="I11" s="35" t="s">
        <v>794</v>
      </c>
    </row>
    <row r="12" customFormat="false" ht="61.5" hidden="false" customHeight="true" outlineLevel="0" collapsed="false">
      <c r="A12" s="35" t="s">
        <v>54</v>
      </c>
      <c r="B12" s="35" t="s">
        <v>795</v>
      </c>
      <c r="C12" s="35" t="s">
        <v>796</v>
      </c>
      <c r="D12" s="35" t="s">
        <v>797</v>
      </c>
      <c r="E12" s="35" t="s">
        <v>798</v>
      </c>
      <c r="F12" s="35" t="s">
        <v>799</v>
      </c>
      <c r="G12" s="36" t="n">
        <v>0.4</v>
      </c>
      <c r="H12" s="35" t="s">
        <v>56</v>
      </c>
      <c r="I12" s="35" t="s">
        <v>800</v>
      </c>
    </row>
    <row r="13" customFormat="false" ht="61.5" hidden="false" customHeight="true" outlineLevel="0" collapsed="false">
      <c r="A13" s="35" t="s">
        <v>56</v>
      </c>
      <c r="B13" s="35" t="s">
        <v>801</v>
      </c>
      <c r="C13" s="35" t="s">
        <v>802</v>
      </c>
      <c r="D13" s="35" t="s">
        <v>803</v>
      </c>
      <c r="E13" s="35" t="s">
        <v>804</v>
      </c>
      <c r="F13" s="35" t="s">
        <v>805</v>
      </c>
      <c r="G13" s="36" t="n">
        <v>0.55</v>
      </c>
      <c r="H13" s="35" t="s">
        <v>58</v>
      </c>
      <c r="I13" s="35" t="s">
        <v>806</v>
      </c>
    </row>
    <row r="14" customFormat="false" ht="61.5" hidden="false" customHeight="true" outlineLevel="0" collapsed="false">
      <c r="A14" s="35" t="s">
        <v>58</v>
      </c>
      <c r="B14" s="35" t="s">
        <v>807</v>
      </c>
      <c r="C14" s="35" t="s">
        <v>808</v>
      </c>
      <c r="D14" s="35" t="s">
        <v>803</v>
      </c>
      <c r="E14" s="35" t="s">
        <v>809</v>
      </c>
      <c r="F14" s="35" t="s">
        <v>810</v>
      </c>
      <c r="G14" s="36" t="n">
        <v>0.75</v>
      </c>
      <c r="H14" s="35" t="s">
        <v>60</v>
      </c>
      <c r="I14" s="35" t="s">
        <v>811</v>
      </c>
    </row>
    <row r="15" customFormat="false" ht="61.5" hidden="false" customHeight="true" outlineLevel="0" collapsed="false">
      <c r="A15" s="35" t="s">
        <v>60</v>
      </c>
      <c r="B15" s="35" t="s">
        <v>812</v>
      </c>
      <c r="C15" s="35" t="s">
        <v>813</v>
      </c>
      <c r="D15" s="35" t="s">
        <v>736</v>
      </c>
      <c r="E15" s="35" t="s">
        <v>814</v>
      </c>
      <c r="F15" s="35" t="s">
        <v>736</v>
      </c>
      <c r="G15" s="36" t="n">
        <v>1</v>
      </c>
      <c r="H15" s="35" t="s">
        <v>736</v>
      </c>
      <c r="I15" s="35" t="s">
        <v>736</v>
      </c>
    </row>
    <row r="16" customFormat="false" ht="61.5" hidden="false" customHeight="true" outlineLevel="0" collapsed="false">
      <c r="A16" s="35" t="s">
        <v>62</v>
      </c>
      <c r="B16" s="35" t="s">
        <v>815</v>
      </c>
      <c r="C16" s="35" t="s">
        <v>816</v>
      </c>
      <c r="D16" s="35" t="s">
        <v>736</v>
      </c>
      <c r="E16" s="35" t="s">
        <v>817</v>
      </c>
      <c r="F16" s="35" t="s">
        <v>736</v>
      </c>
      <c r="G16" s="36" t="n">
        <v>0</v>
      </c>
      <c r="H16" s="35" t="s">
        <v>736</v>
      </c>
      <c r="I16" s="35" t="s">
        <v>736</v>
      </c>
    </row>
    <row r="17" customFormat="false" ht="61.5" hidden="false" customHeight="true" outlineLevel="0" collapsed="false">
      <c r="A17" s="35" t="s">
        <v>64</v>
      </c>
      <c r="B17" s="35" t="s">
        <v>818</v>
      </c>
      <c r="C17" s="35" t="s">
        <v>819</v>
      </c>
      <c r="D17" s="35" t="s">
        <v>820</v>
      </c>
      <c r="E17" s="35" t="s">
        <v>821</v>
      </c>
      <c r="F17" s="35" t="s">
        <v>736</v>
      </c>
      <c r="G17" s="36" t="n">
        <v>0</v>
      </c>
      <c r="H17" s="35" t="s">
        <v>736</v>
      </c>
      <c r="I17" s="35" t="s">
        <v>736</v>
      </c>
    </row>
    <row r="19" customFormat="false" ht="15" hidden="false" customHeight="false" outlineLevel="0" collapsed="false">
      <c r="A19" s="12" t="s">
        <v>822</v>
      </c>
    </row>
    <row r="20" customFormat="false" ht="30" hidden="false" customHeight="true" outlineLevel="0" collapsed="false">
      <c r="A20" s="17" t="s">
        <v>823</v>
      </c>
      <c r="B20" s="17" t="s">
        <v>824</v>
      </c>
      <c r="C20" s="17" t="s">
        <v>825</v>
      </c>
    </row>
    <row r="21" customFormat="false" ht="45" hidden="false" customHeight="true" outlineLevel="0" collapsed="false">
      <c r="A21" s="13" t="n">
        <v>1</v>
      </c>
      <c r="B21" s="37" t="s">
        <v>826</v>
      </c>
      <c r="C21" s="18" t="s">
        <v>827</v>
      </c>
      <c r="D21" s="18"/>
      <c r="E21" s="18"/>
      <c r="F21" s="18"/>
      <c r="G21" s="18"/>
      <c r="H21" s="18"/>
      <c r="I21" s="18"/>
    </row>
    <row r="22" customFormat="false" ht="60" hidden="false" customHeight="true" outlineLevel="0" collapsed="false">
      <c r="A22" s="13" t="n">
        <v>2</v>
      </c>
      <c r="B22" s="37" t="s">
        <v>828</v>
      </c>
      <c r="C22" s="18" t="s">
        <v>829</v>
      </c>
      <c r="D22" s="18"/>
      <c r="E22" s="18"/>
      <c r="F22" s="18"/>
      <c r="G22" s="18"/>
      <c r="H22" s="18"/>
      <c r="I22" s="18"/>
    </row>
    <row r="23" customFormat="false" ht="30" hidden="false" customHeight="true" outlineLevel="0" collapsed="false">
      <c r="A23" s="13" t="n">
        <v>3</v>
      </c>
      <c r="B23" s="37" t="s">
        <v>830</v>
      </c>
      <c r="C23" s="18" t="s">
        <v>831</v>
      </c>
      <c r="D23" s="18"/>
      <c r="E23" s="18"/>
      <c r="F23" s="18"/>
      <c r="G23" s="18"/>
      <c r="H23" s="18"/>
      <c r="I23" s="18"/>
    </row>
    <row r="24" customFormat="false" ht="30" hidden="false" customHeight="true" outlineLevel="0" collapsed="false">
      <c r="A24" s="13" t="n">
        <v>4</v>
      </c>
      <c r="B24" s="37" t="s">
        <v>832</v>
      </c>
      <c r="C24" s="18" t="s">
        <v>833</v>
      </c>
      <c r="D24" s="18"/>
      <c r="E24" s="18"/>
      <c r="F24" s="18"/>
      <c r="G24" s="18"/>
      <c r="H24" s="18"/>
      <c r="I24" s="18"/>
    </row>
    <row r="25" customFormat="false" ht="45" hidden="false" customHeight="true" outlineLevel="0" collapsed="false">
      <c r="A25" s="13" t="n">
        <v>5</v>
      </c>
      <c r="B25" s="37" t="s">
        <v>834</v>
      </c>
      <c r="C25" s="18" t="s">
        <v>835</v>
      </c>
      <c r="D25" s="18"/>
      <c r="E25" s="18"/>
      <c r="F25" s="18"/>
      <c r="G25" s="18"/>
      <c r="H25" s="18"/>
      <c r="I25" s="18"/>
    </row>
    <row r="26" customFormat="false" ht="45" hidden="false" customHeight="true" outlineLevel="0" collapsed="false">
      <c r="A26" s="13" t="n">
        <v>6</v>
      </c>
      <c r="B26" s="37" t="s">
        <v>836</v>
      </c>
      <c r="C26" s="18" t="s">
        <v>837</v>
      </c>
      <c r="D26" s="18"/>
      <c r="E26" s="18"/>
      <c r="F26" s="18"/>
      <c r="G26" s="18"/>
      <c r="H26" s="18"/>
      <c r="I26" s="18"/>
    </row>
    <row r="28" customFormat="false" ht="15" hidden="false" customHeight="false" outlineLevel="0" collapsed="false">
      <c r="A28" s="12" t="s">
        <v>838</v>
      </c>
    </row>
    <row r="29" customFormat="false" ht="30" hidden="false" customHeight="true" outlineLevel="0" collapsed="false">
      <c r="A29" s="17" t="s">
        <v>839</v>
      </c>
      <c r="B29" s="17" t="s">
        <v>840</v>
      </c>
    </row>
    <row r="30" customFormat="false" ht="60" hidden="false" customHeight="true" outlineLevel="0" collapsed="false">
      <c r="A30" s="37" t="s">
        <v>841</v>
      </c>
      <c r="B30" s="18" t="s">
        <v>842</v>
      </c>
      <c r="C30" s="18"/>
      <c r="D30" s="18"/>
      <c r="E30" s="18"/>
      <c r="F30" s="18"/>
      <c r="G30" s="18"/>
      <c r="H30" s="18"/>
      <c r="I30" s="18"/>
    </row>
    <row r="31" customFormat="false" ht="60" hidden="false" customHeight="true" outlineLevel="0" collapsed="false">
      <c r="A31" s="37" t="s">
        <v>843</v>
      </c>
      <c r="B31" s="18" t="s">
        <v>844</v>
      </c>
      <c r="C31" s="18"/>
      <c r="D31" s="18"/>
      <c r="E31" s="18"/>
      <c r="F31" s="18"/>
      <c r="G31" s="18"/>
      <c r="H31" s="18"/>
      <c r="I31" s="18"/>
    </row>
    <row r="32" customFormat="false" ht="60" hidden="false" customHeight="true" outlineLevel="0" collapsed="false">
      <c r="A32" s="37" t="s">
        <v>845</v>
      </c>
      <c r="B32" s="18" t="s">
        <v>846</v>
      </c>
      <c r="C32" s="18"/>
      <c r="D32" s="18"/>
      <c r="E32" s="18"/>
      <c r="F32" s="18"/>
      <c r="G32" s="18"/>
      <c r="H32" s="18"/>
      <c r="I32" s="18"/>
    </row>
    <row r="33" customFormat="false" ht="75" hidden="false" customHeight="true" outlineLevel="0" collapsed="false">
      <c r="A33" s="37" t="s">
        <v>847</v>
      </c>
      <c r="B33" s="18" t="s">
        <v>848</v>
      </c>
      <c r="C33" s="18"/>
      <c r="D33" s="18"/>
      <c r="E33" s="18"/>
      <c r="F33" s="18"/>
      <c r="G33" s="18"/>
      <c r="H33" s="18"/>
      <c r="I33" s="18"/>
    </row>
    <row r="34" customFormat="false" ht="60" hidden="false" customHeight="true" outlineLevel="0" collapsed="false">
      <c r="A34" s="37" t="s">
        <v>849</v>
      </c>
      <c r="B34" s="18" t="s">
        <v>850</v>
      </c>
      <c r="C34" s="18"/>
      <c r="D34" s="18"/>
      <c r="E34" s="18"/>
      <c r="F34" s="18"/>
      <c r="G34" s="18"/>
      <c r="H34" s="18"/>
      <c r="I34" s="18"/>
    </row>
    <row r="35" customFormat="false" ht="45" hidden="false" customHeight="true" outlineLevel="0" collapsed="false">
      <c r="A35" s="37" t="s">
        <v>776</v>
      </c>
      <c r="B35" s="18" t="s">
        <v>851</v>
      </c>
      <c r="C35" s="18"/>
      <c r="D35" s="18"/>
      <c r="E35" s="18"/>
      <c r="F35" s="18"/>
      <c r="G35" s="18"/>
      <c r="H35" s="18"/>
      <c r="I35" s="18"/>
    </row>
    <row r="36" customFormat="false" ht="120" hidden="false" customHeight="true" outlineLevel="0" collapsed="false">
      <c r="A36" s="37" t="s">
        <v>852</v>
      </c>
      <c r="B36" s="18" t="s">
        <v>853</v>
      </c>
      <c r="C36" s="18"/>
      <c r="D36" s="18"/>
      <c r="E36" s="18"/>
      <c r="F36" s="18"/>
      <c r="G36" s="18"/>
      <c r="H36" s="18"/>
      <c r="I36" s="18"/>
    </row>
    <row r="37" customFormat="false" ht="75" hidden="false" customHeight="true" outlineLevel="0" collapsed="false">
      <c r="A37" s="37" t="s">
        <v>854</v>
      </c>
      <c r="B37" s="18" t="s">
        <v>855</v>
      </c>
      <c r="C37" s="18"/>
      <c r="D37" s="18"/>
      <c r="E37" s="18"/>
      <c r="F37" s="18"/>
      <c r="G37" s="18"/>
      <c r="H37" s="18"/>
      <c r="I37" s="18"/>
    </row>
  </sheetData>
  <mergeCells count="14">
    <mergeCell ref="C21:I21"/>
    <mergeCell ref="C22:I22"/>
    <mergeCell ref="C23:I23"/>
    <mergeCell ref="C24:I24"/>
    <mergeCell ref="C25:I25"/>
    <mergeCell ref="C26:I26"/>
    <mergeCell ref="B30:I30"/>
    <mergeCell ref="B31:I31"/>
    <mergeCell ref="B32:I32"/>
    <mergeCell ref="B33:I33"/>
    <mergeCell ref="B34:I34"/>
    <mergeCell ref="B35:I35"/>
    <mergeCell ref="B36:I36"/>
    <mergeCell ref="B37:I3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3" min="2" style="0" width="70"/>
  </cols>
  <sheetData>
    <row r="1" customFormat="false" ht="19.7" hidden="false" customHeight="false" outlineLevel="0" collapsed="false">
      <c r="A1" s="1" t="s">
        <v>856</v>
      </c>
    </row>
    <row r="2" customFormat="false" ht="15" hidden="false" customHeight="false" outlineLevel="0" collapsed="false">
      <c r="A2" s="2" t="s">
        <v>857</v>
      </c>
    </row>
    <row r="3" customFormat="false" ht="15" hidden="false" customHeight="false" outlineLevel="0" collapsed="false">
      <c r="A3" s="12" t="s">
        <v>858</v>
      </c>
    </row>
    <row r="4" customFormat="false" ht="60" hidden="false" customHeight="true" outlineLevel="0" collapsed="false">
      <c r="A4" s="5" t="s">
        <v>859</v>
      </c>
      <c r="B4" s="18" t="s">
        <v>860</v>
      </c>
      <c r="C4" s="18"/>
    </row>
    <row r="5" customFormat="false" ht="45" hidden="false" customHeight="true" outlineLevel="0" collapsed="false">
      <c r="A5" s="5" t="s">
        <v>861</v>
      </c>
      <c r="B5" s="18" t="s">
        <v>862</v>
      </c>
      <c r="C5" s="18"/>
    </row>
    <row r="6" customFormat="false" ht="30" hidden="false" customHeight="true" outlineLevel="0" collapsed="false">
      <c r="A6" s="5" t="s">
        <v>863</v>
      </c>
      <c r="B6" s="18" t="s">
        <v>864</v>
      </c>
      <c r="C6" s="18"/>
    </row>
    <row r="7" customFormat="false" ht="60" hidden="false" customHeight="true" outlineLevel="0" collapsed="false">
      <c r="A7" s="5" t="s">
        <v>865</v>
      </c>
      <c r="B7" s="18" t="s">
        <v>866</v>
      </c>
      <c r="C7" s="18"/>
    </row>
    <row r="8" customFormat="false" ht="45" hidden="false" customHeight="true" outlineLevel="0" collapsed="false">
      <c r="A8" s="5" t="s">
        <v>867</v>
      </c>
      <c r="B8" s="18" t="s">
        <v>868</v>
      </c>
      <c r="C8" s="18"/>
    </row>
    <row r="9" customFormat="false" ht="30" hidden="false" customHeight="true" outlineLevel="0" collapsed="false">
      <c r="A9" s="5" t="s">
        <v>869</v>
      </c>
      <c r="B9" s="18" t="s">
        <v>870</v>
      </c>
      <c r="C9" s="18"/>
    </row>
    <row r="10" customFormat="false" ht="30" hidden="false" customHeight="true" outlineLevel="0" collapsed="false">
      <c r="A10" s="5" t="s">
        <v>871</v>
      </c>
      <c r="B10" s="18" t="s">
        <v>872</v>
      </c>
      <c r="C10" s="18"/>
    </row>
    <row r="11" customFormat="false" ht="30" hidden="false" customHeight="true" outlineLevel="0" collapsed="false">
      <c r="A11" s="5" t="s">
        <v>873</v>
      </c>
      <c r="B11" s="18" t="s">
        <v>874</v>
      </c>
      <c r="C11" s="18"/>
    </row>
    <row r="13" customFormat="false" ht="30" hidden="false" customHeight="true" outlineLevel="0" collapsed="false">
      <c r="A13" s="17" t="s">
        <v>875</v>
      </c>
      <c r="B13" s="17" t="s">
        <v>876</v>
      </c>
      <c r="C13" s="17" t="s">
        <v>877</v>
      </c>
    </row>
    <row r="14" customFormat="false" ht="337.5" hidden="false" customHeight="true" outlineLevel="0" collapsed="false">
      <c r="A14" s="37" t="s">
        <v>40</v>
      </c>
      <c r="B14" s="4" t="s">
        <v>878</v>
      </c>
      <c r="C14" s="4" t="s">
        <v>879</v>
      </c>
    </row>
    <row r="15" customFormat="false" ht="259.5" hidden="false" customHeight="true" outlineLevel="0" collapsed="false">
      <c r="A15" s="37" t="s">
        <v>880</v>
      </c>
      <c r="B15" s="4" t="s">
        <v>881</v>
      </c>
      <c r="C15" s="4" t="s">
        <v>882</v>
      </c>
    </row>
    <row r="16" customFormat="false" ht="234" hidden="false" customHeight="true" outlineLevel="0" collapsed="false">
      <c r="A16" s="37" t="s">
        <v>883</v>
      </c>
      <c r="B16" s="4" t="s">
        <v>884</v>
      </c>
      <c r="C16" s="4" t="s">
        <v>885</v>
      </c>
    </row>
    <row r="17" customFormat="false" ht="78" hidden="false" customHeight="true" outlineLevel="0" collapsed="false">
      <c r="A17" s="37" t="s">
        <v>886</v>
      </c>
      <c r="B17" s="4" t="s">
        <v>887</v>
      </c>
      <c r="C17" s="4" t="s">
        <v>888</v>
      </c>
    </row>
    <row r="18" customFormat="false" ht="399.75" hidden="false" customHeight="true" outlineLevel="0" collapsed="false">
      <c r="A18" s="37" t="s">
        <v>889</v>
      </c>
      <c r="B18" s="4" t="s">
        <v>890</v>
      </c>
      <c r="C18" s="4" t="s">
        <v>891</v>
      </c>
    </row>
    <row r="19" customFormat="false" ht="399.75" hidden="false" customHeight="true" outlineLevel="0" collapsed="false">
      <c r="A19" s="37" t="s">
        <v>892</v>
      </c>
      <c r="B19" s="4" t="s">
        <v>893</v>
      </c>
      <c r="C19" s="4" t="s">
        <v>894</v>
      </c>
    </row>
    <row r="20" customFormat="false" ht="399.75" hidden="false" customHeight="true" outlineLevel="0" collapsed="false">
      <c r="A20" s="37" t="s">
        <v>895</v>
      </c>
      <c r="B20" s="4" t="s">
        <v>896</v>
      </c>
      <c r="C20" s="4" t="s">
        <v>897</v>
      </c>
    </row>
    <row r="22" customFormat="false" ht="15" hidden="false" customHeight="false" outlineLevel="0" collapsed="false">
      <c r="A22" s="12" t="s">
        <v>898</v>
      </c>
    </row>
    <row r="23" customFormat="false" ht="30" hidden="false" customHeight="true" outlineLevel="0" collapsed="false">
      <c r="A23" s="17" t="s">
        <v>823</v>
      </c>
      <c r="B23" s="17" t="s">
        <v>899</v>
      </c>
      <c r="C23" s="17" t="s">
        <v>900</v>
      </c>
    </row>
    <row r="24" customFormat="false" ht="45" hidden="false" customHeight="true" outlineLevel="0" collapsed="false">
      <c r="A24" s="4" t="s">
        <v>901</v>
      </c>
      <c r="B24" s="4" t="s">
        <v>902</v>
      </c>
      <c r="C24" s="4" t="s">
        <v>903</v>
      </c>
    </row>
    <row r="25" customFormat="false" ht="45" hidden="false" customHeight="true" outlineLevel="0" collapsed="false">
      <c r="A25" s="4" t="s">
        <v>904</v>
      </c>
      <c r="B25" s="4" t="s">
        <v>905</v>
      </c>
      <c r="C25" s="4" t="s">
        <v>906</v>
      </c>
    </row>
    <row r="26" customFormat="false" ht="45" hidden="false" customHeight="true" outlineLevel="0" collapsed="false">
      <c r="A26" s="4" t="s">
        <v>907</v>
      </c>
      <c r="B26" s="4" t="s">
        <v>908</v>
      </c>
      <c r="C26" s="4" t="s">
        <v>909</v>
      </c>
    </row>
    <row r="27" customFormat="false" ht="45" hidden="false" customHeight="true" outlineLevel="0" collapsed="false">
      <c r="A27" s="4" t="s">
        <v>910</v>
      </c>
      <c r="B27" s="4" t="s">
        <v>911</v>
      </c>
      <c r="C27" s="4" t="s">
        <v>912</v>
      </c>
    </row>
    <row r="28" customFormat="false" ht="45" hidden="false" customHeight="true" outlineLevel="0" collapsed="false">
      <c r="A28" s="4" t="s">
        <v>913</v>
      </c>
      <c r="B28" s="4" t="s">
        <v>914</v>
      </c>
      <c r="C28" s="4" t="s">
        <v>915</v>
      </c>
    </row>
    <row r="29" customFormat="false" ht="45" hidden="false" customHeight="true" outlineLevel="0" collapsed="false">
      <c r="A29" s="4" t="s">
        <v>916</v>
      </c>
      <c r="B29" s="4" t="s">
        <v>917</v>
      </c>
      <c r="C29" s="4" t="s">
        <v>918</v>
      </c>
    </row>
    <row r="30" customFormat="false" ht="45" hidden="false" customHeight="true" outlineLevel="0" collapsed="false">
      <c r="A30" s="4" t="s">
        <v>919</v>
      </c>
      <c r="B30" s="4" t="s">
        <v>920</v>
      </c>
      <c r="C30" s="4" t="s">
        <v>921</v>
      </c>
    </row>
    <row r="31" customFormat="false" ht="45" hidden="false" customHeight="true" outlineLevel="0" collapsed="false">
      <c r="A31" s="4" t="s">
        <v>922</v>
      </c>
      <c r="B31" s="4" t="s">
        <v>923</v>
      </c>
      <c r="C31" s="4" t="s">
        <v>924</v>
      </c>
    </row>
    <row r="32" customFormat="false" ht="45" hidden="false" customHeight="true" outlineLevel="0" collapsed="false">
      <c r="A32" s="4" t="s">
        <v>925</v>
      </c>
      <c r="B32" s="4" t="s">
        <v>926</v>
      </c>
      <c r="C32" s="4" t="s">
        <v>927</v>
      </c>
    </row>
    <row r="33" customFormat="false" ht="45" hidden="false" customHeight="true" outlineLevel="0" collapsed="false">
      <c r="A33" s="4" t="s">
        <v>928</v>
      </c>
      <c r="B33" s="4" t="s">
        <v>929</v>
      </c>
      <c r="C33" s="4" t="s">
        <v>930</v>
      </c>
    </row>
    <row r="34" customFormat="false" ht="45" hidden="false" customHeight="true" outlineLevel="0" collapsed="false">
      <c r="A34" s="4" t="s">
        <v>931</v>
      </c>
      <c r="B34" s="4" t="s">
        <v>932</v>
      </c>
      <c r="C34" s="4" t="s">
        <v>933</v>
      </c>
    </row>
    <row r="35" customFormat="false" ht="45" hidden="false" customHeight="true" outlineLevel="0" collapsed="false">
      <c r="A35" s="4" t="s">
        <v>934</v>
      </c>
      <c r="B35" s="4" t="s">
        <v>935</v>
      </c>
      <c r="C35" s="4" t="s">
        <v>936</v>
      </c>
    </row>
    <row r="36" customFormat="false" ht="45" hidden="false" customHeight="true" outlineLevel="0" collapsed="false">
      <c r="A36" s="4" t="s">
        <v>937</v>
      </c>
      <c r="B36" s="4" t="s">
        <v>938</v>
      </c>
      <c r="C36" s="4" t="s">
        <v>939</v>
      </c>
    </row>
    <row r="37" customFormat="false" ht="45" hidden="false" customHeight="true" outlineLevel="0" collapsed="false">
      <c r="A37" s="4" t="s">
        <v>940</v>
      </c>
      <c r="B37" s="4" t="s">
        <v>941</v>
      </c>
      <c r="C37" s="4" t="s">
        <v>942</v>
      </c>
    </row>
    <row r="38" customFormat="false" ht="45" hidden="false" customHeight="true" outlineLevel="0" collapsed="false">
      <c r="A38" s="4" t="s">
        <v>943</v>
      </c>
      <c r="B38" s="4" t="s">
        <v>944</v>
      </c>
      <c r="C38" s="4" t="s">
        <v>945</v>
      </c>
    </row>
    <row r="39" customFormat="false" ht="45" hidden="false" customHeight="true" outlineLevel="0" collapsed="false">
      <c r="A39" s="4" t="s">
        <v>946</v>
      </c>
      <c r="B39" s="4" t="s">
        <v>947</v>
      </c>
      <c r="C39" s="4" t="s">
        <v>948</v>
      </c>
    </row>
    <row r="40" customFormat="false" ht="45" hidden="false" customHeight="true" outlineLevel="0" collapsed="false">
      <c r="A40" s="4" t="s">
        <v>949</v>
      </c>
      <c r="B40" s="4" t="s">
        <v>950</v>
      </c>
      <c r="C40" s="4" t="s">
        <v>951</v>
      </c>
    </row>
    <row r="41" customFormat="false" ht="45" hidden="false" customHeight="true" outlineLevel="0" collapsed="false">
      <c r="A41" s="4" t="s">
        <v>952</v>
      </c>
      <c r="B41" s="4" t="s">
        <v>953</v>
      </c>
      <c r="C41" s="4" t="s">
        <v>954</v>
      </c>
    </row>
    <row r="42" customFormat="false" ht="45" hidden="false" customHeight="true" outlineLevel="0" collapsed="false">
      <c r="A42" s="4" t="s">
        <v>955</v>
      </c>
      <c r="B42" s="4" t="s">
        <v>956</v>
      </c>
      <c r="C42" s="4" t="s">
        <v>957</v>
      </c>
    </row>
    <row r="43" customFormat="false" ht="45" hidden="false" customHeight="true" outlineLevel="0" collapsed="false">
      <c r="A43" s="4" t="s">
        <v>958</v>
      </c>
      <c r="B43" s="4" t="s">
        <v>959</v>
      </c>
      <c r="C43" s="4" t="s">
        <v>960</v>
      </c>
    </row>
    <row r="44" customFormat="false" ht="45" hidden="false" customHeight="true" outlineLevel="0" collapsed="false">
      <c r="A44" s="4" t="s">
        <v>961</v>
      </c>
      <c r="B44" s="4" t="s">
        <v>962</v>
      </c>
      <c r="C44" s="4" t="s">
        <v>963</v>
      </c>
    </row>
    <row r="45" customFormat="false" ht="45" hidden="false" customHeight="true" outlineLevel="0" collapsed="false">
      <c r="A45" s="4" t="s">
        <v>964</v>
      </c>
      <c r="B45" s="4" t="s">
        <v>965</v>
      </c>
      <c r="C45" s="4" t="s">
        <v>966</v>
      </c>
    </row>
    <row r="46" customFormat="false" ht="45" hidden="false" customHeight="true" outlineLevel="0" collapsed="false">
      <c r="A46" s="4" t="s">
        <v>967</v>
      </c>
      <c r="B46" s="4" t="s">
        <v>968</v>
      </c>
      <c r="C46" s="4" t="s">
        <v>969</v>
      </c>
    </row>
  </sheetData>
  <mergeCells count="8">
    <mergeCell ref="B4:C4"/>
    <mergeCell ref="B5:C5"/>
    <mergeCell ref="B6:C6"/>
    <mergeCell ref="B7:C7"/>
    <mergeCell ref="B8:C8"/>
    <mergeCell ref="B9:C9"/>
    <mergeCell ref="B10:C10"/>
    <mergeCell ref="B11:C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100"/>
  </cols>
  <sheetData>
    <row r="1" customFormat="false" ht="19.7" hidden="false" customHeight="false" outlineLevel="0" collapsed="false">
      <c r="A1" s="1" t="s">
        <v>970</v>
      </c>
    </row>
    <row r="2" customFormat="false" ht="15" hidden="false" customHeight="false" outlineLevel="0" collapsed="false">
      <c r="A2" s="2" t="s">
        <v>971</v>
      </c>
    </row>
    <row r="3" customFormat="false" ht="30" hidden="false" customHeight="true" outlineLevel="0" collapsed="false">
      <c r="A3" s="17" t="s">
        <v>823</v>
      </c>
      <c r="B3" s="17" t="s">
        <v>972</v>
      </c>
      <c r="C3" s="17" t="s">
        <v>973</v>
      </c>
    </row>
    <row r="4" customFormat="false" ht="60" hidden="false" customHeight="true" outlineLevel="0" collapsed="false">
      <c r="A4" s="35" t="s">
        <v>974</v>
      </c>
      <c r="B4" s="35" t="s">
        <v>975</v>
      </c>
      <c r="C4" s="35" t="s">
        <v>976</v>
      </c>
    </row>
    <row r="5" customFormat="false" ht="60" hidden="false" customHeight="true" outlineLevel="0" collapsed="false">
      <c r="A5" s="35" t="s">
        <v>977</v>
      </c>
      <c r="B5" s="35" t="s">
        <v>978</v>
      </c>
      <c r="C5" s="35" t="s">
        <v>979</v>
      </c>
    </row>
    <row r="6" customFormat="false" ht="60" hidden="false" customHeight="true" outlineLevel="0" collapsed="false">
      <c r="A6" s="35" t="s">
        <v>980</v>
      </c>
      <c r="B6" s="35" t="s">
        <v>981</v>
      </c>
      <c r="C6" s="38" t="s">
        <v>982</v>
      </c>
    </row>
    <row r="7" customFormat="false" ht="45" hidden="false" customHeight="true" outlineLevel="0" collapsed="false">
      <c r="A7" s="35" t="s">
        <v>983</v>
      </c>
      <c r="B7" s="35" t="s">
        <v>984</v>
      </c>
      <c r="C7" s="38" t="s">
        <v>985</v>
      </c>
    </row>
    <row r="8" customFormat="false" ht="60" hidden="false" customHeight="true" outlineLevel="0" collapsed="false">
      <c r="A8" s="35" t="s">
        <v>986</v>
      </c>
      <c r="B8" s="35" t="s">
        <v>987</v>
      </c>
      <c r="C8" s="38" t="s">
        <v>988</v>
      </c>
    </row>
    <row r="9" customFormat="false" ht="60" hidden="false" customHeight="true" outlineLevel="0" collapsed="false">
      <c r="A9" s="35" t="s">
        <v>989</v>
      </c>
      <c r="B9" s="35" t="s">
        <v>990</v>
      </c>
      <c r="C9" s="38" t="s">
        <v>991</v>
      </c>
    </row>
    <row r="10" customFormat="false" ht="60" hidden="false" customHeight="true" outlineLevel="0" collapsed="false">
      <c r="A10" s="35" t="s">
        <v>992</v>
      </c>
      <c r="B10" s="35" t="s">
        <v>993</v>
      </c>
      <c r="C10" s="35" t="s">
        <v>994</v>
      </c>
    </row>
    <row r="11" customFormat="false" ht="60" hidden="false" customHeight="true" outlineLevel="0" collapsed="false">
      <c r="A11" s="35" t="s">
        <v>995</v>
      </c>
      <c r="B11" s="35" t="s">
        <v>996</v>
      </c>
      <c r="C11" s="35" t="s">
        <v>997</v>
      </c>
    </row>
    <row r="12" customFormat="false" ht="75" hidden="false" customHeight="true" outlineLevel="0" collapsed="false">
      <c r="A12" s="35" t="s">
        <v>998</v>
      </c>
      <c r="B12" s="35" t="s">
        <v>999</v>
      </c>
      <c r="C12" s="35" t="s">
        <v>1000</v>
      </c>
    </row>
    <row r="13" customFormat="false" ht="75" hidden="false" customHeight="true" outlineLevel="0" collapsed="false">
      <c r="A13" s="35" t="s">
        <v>1001</v>
      </c>
      <c r="B13" s="35" t="s">
        <v>1002</v>
      </c>
      <c r="C13" s="35" t="s">
        <v>1003</v>
      </c>
    </row>
    <row r="14" customFormat="false" ht="75" hidden="false" customHeight="true" outlineLevel="0" collapsed="false">
      <c r="A14" s="35" t="s">
        <v>1004</v>
      </c>
      <c r="B14" s="35" t="s">
        <v>1005</v>
      </c>
      <c r="C14" s="35" t="s">
        <v>1006</v>
      </c>
    </row>
    <row r="15" customFormat="false" ht="90" hidden="false" customHeight="true" outlineLevel="0" collapsed="false">
      <c r="A15" s="35" t="s">
        <v>1007</v>
      </c>
      <c r="B15" s="35" t="s">
        <v>1008</v>
      </c>
      <c r="C15" s="35" t="s">
        <v>1009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110"/>
  </cols>
  <sheetData>
    <row r="1" customFormat="false" ht="19.7" hidden="false" customHeight="false" outlineLevel="0" collapsed="false">
      <c r="A1" s="1" t="s">
        <v>1010</v>
      </c>
    </row>
    <row r="2" customFormat="false" ht="15" hidden="false" customHeight="false" outlineLevel="0" collapsed="false">
      <c r="A2" s="2" t="s">
        <v>1011</v>
      </c>
    </row>
    <row r="3" customFormat="false" ht="30" hidden="false" customHeight="true" outlineLevel="0" collapsed="false">
      <c r="A3" s="17" t="s">
        <v>1012</v>
      </c>
      <c r="B3" s="17" t="s">
        <v>1013</v>
      </c>
      <c r="C3" s="17" t="s">
        <v>1014</v>
      </c>
    </row>
    <row r="4" customFormat="false" ht="45" hidden="false" customHeight="true" outlineLevel="0" collapsed="false">
      <c r="A4" s="13" t="n">
        <v>1</v>
      </c>
      <c r="B4" s="37" t="s">
        <v>1015</v>
      </c>
      <c r="C4" s="4" t="s">
        <v>1016</v>
      </c>
    </row>
    <row r="5" customFormat="false" ht="45" hidden="false" customHeight="true" outlineLevel="0" collapsed="false">
      <c r="A5" s="13" t="n">
        <v>2</v>
      </c>
      <c r="B5" s="37" t="s">
        <v>1017</v>
      </c>
      <c r="C5" s="4" t="s">
        <v>1018</v>
      </c>
    </row>
    <row r="6" customFormat="false" ht="45" hidden="false" customHeight="true" outlineLevel="0" collapsed="false">
      <c r="A6" s="13" t="n">
        <v>3</v>
      </c>
      <c r="B6" s="37" t="s">
        <v>1019</v>
      </c>
      <c r="C6" s="4" t="s">
        <v>1020</v>
      </c>
    </row>
    <row r="7" customFormat="false" ht="45" hidden="false" customHeight="true" outlineLevel="0" collapsed="false">
      <c r="A7" s="13" t="n">
        <v>4</v>
      </c>
      <c r="B7" s="37" t="s">
        <v>1021</v>
      </c>
      <c r="C7" s="4" t="s">
        <v>1022</v>
      </c>
    </row>
    <row r="8" customFormat="false" ht="45" hidden="false" customHeight="true" outlineLevel="0" collapsed="false">
      <c r="A8" s="13" t="n">
        <v>5</v>
      </c>
      <c r="B8" s="37" t="s">
        <v>1023</v>
      </c>
      <c r="C8" s="4" t="s">
        <v>1024</v>
      </c>
    </row>
    <row r="9" customFormat="false" ht="45" hidden="false" customHeight="true" outlineLevel="0" collapsed="false">
      <c r="A9" s="13" t="n">
        <v>6</v>
      </c>
      <c r="B9" s="37" t="s">
        <v>1025</v>
      </c>
      <c r="C9" s="4" t="s">
        <v>1026</v>
      </c>
    </row>
    <row r="11" customFormat="false" ht="15" hidden="false" customHeight="false" outlineLevel="0" collapsed="false">
      <c r="A11" s="12" t="s">
        <v>1027</v>
      </c>
    </row>
    <row r="12" customFormat="false" ht="30" hidden="false" customHeight="true" outlineLevel="0" collapsed="false">
      <c r="A12" s="17" t="s">
        <v>1013</v>
      </c>
      <c r="B12" s="17" t="s">
        <v>1028</v>
      </c>
      <c r="C12" s="17" t="s">
        <v>1029</v>
      </c>
    </row>
    <row r="13" customFormat="false" ht="90" hidden="false" customHeight="true" outlineLevel="0" collapsed="false">
      <c r="A13" s="4" t="s">
        <v>1030</v>
      </c>
      <c r="B13" s="4" t="s">
        <v>1031</v>
      </c>
      <c r="C13" s="4" t="s">
        <v>1032</v>
      </c>
    </row>
    <row r="14" customFormat="false" ht="90" hidden="false" customHeight="true" outlineLevel="0" collapsed="false">
      <c r="A14" s="4" t="s">
        <v>1033</v>
      </c>
      <c r="B14" s="4" t="s">
        <v>1034</v>
      </c>
      <c r="C14" s="4" t="s">
        <v>1035</v>
      </c>
    </row>
    <row r="15" customFormat="false" ht="90" hidden="false" customHeight="true" outlineLevel="0" collapsed="false">
      <c r="A15" s="4" t="s">
        <v>1036</v>
      </c>
      <c r="B15" s="4" t="s">
        <v>1037</v>
      </c>
      <c r="C15" s="4" t="s">
        <v>1038</v>
      </c>
    </row>
    <row r="16" customFormat="false" ht="90" hidden="false" customHeight="true" outlineLevel="0" collapsed="false">
      <c r="A16" s="4" t="s">
        <v>1039</v>
      </c>
      <c r="B16" s="4" t="s">
        <v>1040</v>
      </c>
      <c r="C16" s="4" t="s">
        <v>1041</v>
      </c>
    </row>
    <row r="17" customFormat="false" ht="90" hidden="false" customHeight="true" outlineLevel="0" collapsed="false">
      <c r="A17" s="4" t="s">
        <v>1042</v>
      </c>
      <c r="B17" s="4" t="s">
        <v>1043</v>
      </c>
      <c r="C17" s="4" t="s">
        <v>1044</v>
      </c>
    </row>
    <row r="18" customFormat="false" ht="90" hidden="false" customHeight="true" outlineLevel="0" collapsed="false">
      <c r="A18" s="4" t="s">
        <v>1045</v>
      </c>
      <c r="B18" s="4" t="s">
        <v>1046</v>
      </c>
      <c r="C18" s="4" t="s">
        <v>1047</v>
      </c>
    </row>
    <row r="19" customFormat="false" ht="90" hidden="false" customHeight="true" outlineLevel="0" collapsed="false">
      <c r="A19" s="4" t="s">
        <v>1048</v>
      </c>
      <c r="B19" s="4" t="s">
        <v>1049</v>
      </c>
      <c r="C19" s="4" t="s">
        <v>1050</v>
      </c>
    </row>
    <row r="20" customFormat="false" ht="90" hidden="false" customHeight="true" outlineLevel="0" collapsed="false">
      <c r="A20" s="4" t="s">
        <v>1051</v>
      </c>
      <c r="B20" s="4" t="s">
        <v>1052</v>
      </c>
      <c r="C20" s="4" t="s">
        <v>1053</v>
      </c>
    </row>
    <row r="21" customFormat="false" ht="90" hidden="false" customHeight="true" outlineLevel="0" collapsed="false">
      <c r="A21" s="4" t="s">
        <v>1054</v>
      </c>
      <c r="B21" s="4" t="s">
        <v>1055</v>
      </c>
      <c r="C21" s="4" t="s">
        <v>1056</v>
      </c>
    </row>
    <row r="22" customFormat="false" ht="90" hidden="false" customHeight="true" outlineLevel="0" collapsed="false">
      <c r="A22" s="4" t="s">
        <v>1057</v>
      </c>
      <c r="B22" s="4" t="s">
        <v>1058</v>
      </c>
      <c r="C22" s="4" t="s">
        <v>1059</v>
      </c>
    </row>
    <row r="23" customFormat="false" ht="90" hidden="false" customHeight="true" outlineLevel="0" collapsed="false">
      <c r="A23" s="4" t="s">
        <v>1060</v>
      </c>
      <c r="B23" s="4" t="s">
        <v>1061</v>
      </c>
      <c r="C23" s="4" t="s">
        <v>1062</v>
      </c>
    </row>
    <row r="24" customFormat="false" ht="90" hidden="false" customHeight="true" outlineLevel="0" collapsed="false">
      <c r="A24" s="4" t="s">
        <v>1063</v>
      </c>
      <c r="B24" s="4" t="s">
        <v>1064</v>
      </c>
      <c r="C24" s="4" t="s">
        <v>1065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40"/>
    <col collapsed="false" customWidth="true" hidden="false" outlineLevel="0" max="4" min="4" style="0" width="14"/>
    <col collapsed="false" customWidth="true" hidden="false" outlineLevel="0" max="5" min="5" style="0" width="12"/>
    <col collapsed="false" customWidth="true" hidden="false" outlineLevel="0" max="6" min="6" style="0" width="16"/>
    <col collapsed="false" customWidth="true" hidden="false" outlineLevel="0" max="7" min="7" style="0" width="34"/>
    <col collapsed="false" customWidth="true" hidden="false" outlineLevel="0" max="8" min="8" style="0" width="26"/>
  </cols>
  <sheetData>
    <row r="1" customFormat="false" ht="19.7" hidden="false" customHeight="false" outlineLevel="0" collapsed="false">
      <c r="A1" s="1" t="s">
        <v>1066</v>
      </c>
    </row>
    <row r="2" customFormat="false" ht="15" hidden="false" customHeight="false" outlineLevel="0" collapsed="false">
      <c r="A2" s="2" t="s">
        <v>1067</v>
      </c>
    </row>
    <row r="3" customFormat="false" ht="30" hidden="false" customHeight="true" outlineLevel="0" collapsed="false">
      <c r="A3" s="17" t="s">
        <v>80</v>
      </c>
      <c r="B3" s="17" t="s">
        <v>1068</v>
      </c>
      <c r="C3" s="17" t="s">
        <v>1069</v>
      </c>
      <c r="D3" s="17" t="s">
        <v>1070</v>
      </c>
      <c r="E3" s="17" t="s">
        <v>1071</v>
      </c>
      <c r="F3" s="17" t="s">
        <v>1072</v>
      </c>
      <c r="G3" s="17" t="s">
        <v>1073</v>
      </c>
      <c r="H3" s="17" t="s">
        <v>1074</v>
      </c>
    </row>
    <row r="4" customFormat="false" ht="45" hidden="false" customHeight="true" outlineLevel="0" collapsed="false">
      <c r="A4" s="35" t="s">
        <v>127</v>
      </c>
      <c r="B4" s="35" t="s">
        <v>1075</v>
      </c>
      <c r="C4" s="35" t="s">
        <v>1076</v>
      </c>
      <c r="D4" s="39" t="n">
        <v>3600</v>
      </c>
      <c r="E4" s="39" t="n">
        <v>300</v>
      </c>
      <c r="F4" s="39" t="n">
        <v>1200</v>
      </c>
      <c r="G4" s="35" t="s">
        <v>1077</v>
      </c>
      <c r="H4" s="35" t="s">
        <v>1078</v>
      </c>
    </row>
    <row r="5" customFormat="false" ht="45" hidden="false" customHeight="true" outlineLevel="0" collapsed="false">
      <c r="A5" s="35" t="s">
        <v>147</v>
      </c>
      <c r="B5" s="35" t="s">
        <v>1079</v>
      </c>
      <c r="C5" s="35" t="s">
        <v>1080</v>
      </c>
      <c r="D5" s="39" t="n">
        <v>6480</v>
      </c>
      <c r="E5" s="39" t="n">
        <v>540</v>
      </c>
      <c r="F5" s="39" t="n">
        <v>1200</v>
      </c>
      <c r="G5" s="35" t="s">
        <v>1081</v>
      </c>
      <c r="H5" s="35" t="s">
        <v>1082</v>
      </c>
    </row>
    <row r="6" customFormat="false" ht="45" hidden="false" customHeight="true" outlineLevel="0" collapsed="false">
      <c r="A6" s="35" t="s">
        <v>352</v>
      </c>
      <c r="B6" s="35" t="s">
        <v>1083</v>
      </c>
      <c r="C6" s="35" t="s">
        <v>1084</v>
      </c>
      <c r="D6" s="39" t="n">
        <v>2160</v>
      </c>
      <c r="E6" s="39" t="n">
        <v>180</v>
      </c>
      <c r="F6" s="39" t="n">
        <v>1200</v>
      </c>
      <c r="G6" s="35" t="s">
        <v>1085</v>
      </c>
      <c r="H6" s="35" t="s">
        <v>1086</v>
      </c>
    </row>
    <row r="8" customFormat="false" ht="15" hidden="false" customHeight="false" outlineLevel="0" collapsed="false">
      <c r="A8" s="12" t="s">
        <v>1087</v>
      </c>
    </row>
    <row r="9" customFormat="false" ht="30" hidden="false" customHeight="true" outlineLevel="0" collapsed="false">
      <c r="A9" s="17" t="s">
        <v>80</v>
      </c>
      <c r="B9" s="17" t="s">
        <v>1088</v>
      </c>
      <c r="C9" s="17" t="s">
        <v>1089</v>
      </c>
      <c r="D9" s="17" t="s">
        <v>1090</v>
      </c>
      <c r="E9" s="17" t="s">
        <v>1091</v>
      </c>
      <c r="F9" s="17" t="s">
        <v>1092</v>
      </c>
      <c r="G9" s="17" t="s">
        <v>1093</v>
      </c>
      <c r="H9" s="17" t="s">
        <v>1094</v>
      </c>
      <c r="I9" s="17" t="s">
        <v>1095</v>
      </c>
      <c r="J9" s="17" t="s">
        <v>1096</v>
      </c>
      <c r="K9" s="17" t="s">
        <v>1097</v>
      </c>
    </row>
    <row r="10" customFormat="false" ht="75" hidden="false" customHeight="true" outlineLevel="0" collapsed="false">
      <c r="A10" s="4" t="s">
        <v>1098</v>
      </c>
      <c r="B10" s="4" t="s">
        <v>1099</v>
      </c>
      <c r="C10" s="4" t="s">
        <v>1100</v>
      </c>
      <c r="D10" s="4" t="s">
        <v>1101</v>
      </c>
      <c r="E10" s="4" t="s">
        <v>1102</v>
      </c>
      <c r="F10" s="4" t="s">
        <v>1103</v>
      </c>
      <c r="G10" s="4" t="s">
        <v>1104</v>
      </c>
      <c r="H10" s="4" t="s">
        <v>1105</v>
      </c>
      <c r="I10" s="4" t="s">
        <v>1106</v>
      </c>
      <c r="J10" s="4" t="s">
        <v>1107</v>
      </c>
      <c r="K10" s="4" t="s">
        <v>1108</v>
      </c>
    </row>
    <row r="11" customFormat="false" ht="75" hidden="false" customHeight="true" outlineLevel="0" collapsed="false">
      <c r="A11" s="4" t="s">
        <v>1109</v>
      </c>
      <c r="B11" s="4" t="s">
        <v>1110</v>
      </c>
      <c r="C11" s="4" t="s">
        <v>1111</v>
      </c>
      <c r="D11" s="4" t="s">
        <v>1112</v>
      </c>
      <c r="E11" s="4" t="s">
        <v>1113</v>
      </c>
      <c r="F11" s="4" t="s">
        <v>1114</v>
      </c>
      <c r="G11" s="4" t="s">
        <v>1115</v>
      </c>
      <c r="H11" s="4" t="s">
        <v>1116</v>
      </c>
      <c r="I11" s="4" t="s">
        <v>1117</v>
      </c>
      <c r="J11" s="4" t="s">
        <v>1118</v>
      </c>
      <c r="K11" s="4" t="s">
        <v>1119</v>
      </c>
    </row>
    <row r="12" customFormat="false" ht="75" hidden="false" customHeight="true" outlineLevel="0" collapsed="false">
      <c r="A12" s="4" t="s">
        <v>1120</v>
      </c>
      <c r="B12" s="4" t="s">
        <v>1121</v>
      </c>
      <c r="C12" s="4" t="s">
        <v>1122</v>
      </c>
      <c r="D12" s="4" t="s">
        <v>1123</v>
      </c>
      <c r="E12" s="4" t="s">
        <v>1124</v>
      </c>
      <c r="F12" s="4" t="s">
        <v>1125</v>
      </c>
      <c r="G12" s="4" t="s">
        <v>1126</v>
      </c>
      <c r="H12" s="4" t="s">
        <v>1127</v>
      </c>
      <c r="I12" s="4" t="s">
        <v>1128</v>
      </c>
      <c r="J12" s="4" t="s">
        <v>1129</v>
      </c>
      <c r="K12" s="4" t="s">
        <v>1130</v>
      </c>
    </row>
    <row r="14" customFormat="false" ht="15" hidden="false" customHeight="false" outlineLevel="0" collapsed="false">
      <c r="A14" s="12" t="s">
        <v>1131</v>
      </c>
    </row>
    <row r="15" customFormat="false" ht="30" hidden="false" customHeight="true" outlineLevel="0" collapsed="false">
      <c r="A15" s="17" t="s">
        <v>1132</v>
      </c>
      <c r="B15" s="17" t="s">
        <v>33</v>
      </c>
    </row>
    <row r="16" customFormat="false" ht="15" hidden="false" customHeight="true" outlineLevel="0" collapsed="false">
      <c r="A16" s="37" t="s">
        <v>1133</v>
      </c>
      <c r="B16" s="18" t="s">
        <v>1134</v>
      </c>
      <c r="C16" s="18"/>
      <c r="D16" s="18"/>
      <c r="E16" s="18"/>
      <c r="F16" s="18"/>
      <c r="G16" s="18"/>
      <c r="H16" s="18"/>
    </row>
    <row r="17" customFormat="false" ht="15" hidden="false" customHeight="true" outlineLevel="0" collapsed="false">
      <c r="A17" s="37" t="s">
        <v>1135</v>
      </c>
      <c r="B17" s="18" t="s">
        <v>1136</v>
      </c>
      <c r="C17" s="18"/>
      <c r="D17" s="18"/>
      <c r="E17" s="18"/>
      <c r="F17" s="18"/>
      <c r="G17" s="18"/>
      <c r="H17" s="18"/>
    </row>
    <row r="18" customFormat="false" ht="15" hidden="false" customHeight="true" outlineLevel="0" collapsed="false">
      <c r="A18" s="37" t="s">
        <v>1137</v>
      </c>
      <c r="B18" s="18" t="s">
        <v>1138</v>
      </c>
      <c r="C18" s="18"/>
      <c r="D18" s="18"/>
      <c r="E18" s="18"/>
      <c r="F18" s="18"/>
      <c r="G18" s="18"/>
      <c r="H18" s="18"/>
    </row>
    <row r="19" customFormat="false" ht="30" hidden="false" customHeight="true" outlineLevel="0" collapsed="false">
      <c r="A19" s="37" t="s">
        <v>1139</v>
      </c>
      <c r="B19" s="18" t="s">
        <v>1140</v>
      </c>
      <c r="C19" s="18"/>
      <c r="D19" s="18"/>
      <c r="E19" s="18"/>
      <c r="F19" s="18"/>
      <c r="G19" s="18"/>
      <c r="H19" s="18"/>
    </row>
    <row r="20" customFormat="false" ht="15" hidden="false" customHeight="true" outlineLevel="0" collapsed="false">
      <c r="A20" s="37" t="s">
        <v>1141</v>
      </c>
      <c r="B20" s="18" t="s">
        <v>1142</v>
      </c>
      <c r="C20" s="18"/>
      <c r="D20" s="18"/>
      <c r="E20" s="18"/>
      <c r="F20" s="18"/>
      <c r="G20" s="18"/>
      <c r="H20" s="18"/>
    </row>
    <row r="21" customFormat="false" ht="30" hidden="false" customHeight="true" outlineLevel="0" collapsed="false">
      <c r="A21" s="37" t="s">
        <v>1143</v>
      </c>
      <c r="B21" s="18" t="s">
        <v>1144</v>
      </c>
      <c r="C21" s="18"/>
      <c r="D21" s="18"/>
      <c r="E21" s="18"/>
      <c r="F21" s="18"/>
      <c r="G21" s="18"/>
      <c r="H21" s="18"/>
    </row>
    <row r="22" customFormat="false" ht="15" hidden="false" customHeight="true" outlineLevel="0" collapsed="false">
      <c r="A22" s="37" t="s">
        <v>1145</v>
      </c>
      <c r="B22" s="18" t="s">
        <v>1146</v>
      </c>
      <c r="C22" s="18"/>
      <c r="D22" s="18"/>
      <c r="E22" s="18"/>
      <c r="F22" s="18"/>
      <c r="G22" s="18"/>
      <c r="H22" s="18"/>
    </row>
    <row r="23" customFormat="false" ht="30" hidden="false" customHeight="true" outlineLevel="0" collapsed="false">
      <c r="A23" s="37" t="s">
        <v>1147</v>
      </c>
      <c r="B23" s="18" t="s">
        <v>1148</v>
      </c>
      <c r="C23" s="18"/>
      <c r="D23" s="18"/>
      <c r="E23" s="18"/>
      <c r="F23" s="18"/>
      <c r="G23" s="18"/>
      <c r="H23" s="18"/>
    </row>
    <row r="24" customFormat="false" ht="30" hidden="false" customHeight="true" outlineLevel="0" collapsed="false">
      <c r="A24" s="37" t="s">
        <v>1149</v>
      </c>
      <c r="B24" s="18" t="s">
        <v>1150</v>
      </c>
      <c r="C24" s="18"/>
      <c r="D24" s="18"/>
      <c r="E24" s="18"/>
      <c r="F24" s="18"/>
      <c r="G24" s="18"/>
      <c r="H24" s="18"/>
    </row>
    <row r="25" customFormat="false" ht="15" hidden="false" customHeight="true" outlineLevel="0" collapsed="false">
      <c r="A25" s="37" t="s">
        <v>1151</v>
      </c>
      <c r="B25" s="18" t="s">
        <v>1152</v>
      </c>
      <c r="C25" s="18"/>
      <c r="D25" s="18"/>
      <c r="E25" s="18"/>
      <c r="F25" s="18"/>
      <c r="G25" s="18"/>
      <c r="H25" s="18"/>
    </row>
    <row r="26" customFormat="false" ht="15" hidden="false" customHeight="true" outlineLevel="0" collapsed="false">
      <c r="A26" s="37" t="s">
        <v>1153</v>
      </c>
      <c r="B26" s="18" t="s">
        <v>1154</v>
      </c>
      <c r="C26" s="18"/>
      <c r="D26" s="18"/>
      <c r="E26" s="18"/>
      <c r="F26" s="18"/>
      <c r="G26" s="18"/>
      <c r="H26" s="18"/>
    </row>
    <row r="27" customFormat="false" ht="30" hidden="false" customHeight="true" outlineLevel="0" collapsed="false">
      <c r="A27" s="37" t="s">
        <v>1155</v>
      </c>
      <c r="B27" s="18" t="s">
        <v>1156</v>
      </c>
      <c r="C27" s="18"/>
      <c r="D27" s="18"/>
      <c r="E27" s="18"/>
      <c r="F27" s="18"/>
      <c r="G27" s="18"/>
      <c r="H27" s="18"/>
    </row>
    <row r="28" customFormat="false" ht="15" hidden="false" customHeight="true" outlineLevel="0" collapsed="false">
      <c r="A28" s="37" t="s">
        <v>1157</v>
      </c>
      <c r="B28" s="18" t="s">
        <v>1158</v>
      </c>
      <c r="C28" s="18"/>
      <c r="D28" s="18"/>
      <c r="E28" s="18"/>
      <c r="F28" s="18"/>
      <c r="G28" s="18"/>
      <c r="H28" s="18"/>
    </row>
    <row r="29" customFormat="false" ht="30" hidden="false" customHeight="true" outlineLevel="0" collapsed="false">
      <c r="A29" s="37" t="s">
        <v>1159</v>
      </c>
      <c r="B29" s="18" t="s">
        <v>1160</v>
      </c>
      <c r="C29" s="18"/>
      <c r="D29" s="18"/>
      <c r="E29" s="18"/>
      <c r="F29" s="18"/>
      <c r="G29" s="18"/>
      <c r="H29" s="18"/>
    </row>
    <row r="30" customFormat="false" ht="15" hidden="false" customHeight="true" outlineLevel="0" collapsed="false">
      <c r="A30" s="37" t="s">
        <v>1161</v>
      </c>
      <c r="B30" s="18" t="s">
        <v>1162</v>
      </c>
      <c r="C30" s="18"/>
      <c r="D30" s="18"/>
      <c r="E30" s="18"/>
      <c r="F30" s="18"/>
      <c r="G30" s="18"/>
      <c r="H30" s="18"/>
    </row>
    <row r="31" customFormat="false" ht="30" hidden="false" customHeight="true" outlineLevel="0" collapsed="false">
      <c r="A31" s="37" t="s">
        <v>1163</v>
      </c>
      <c r="B31" s="18" t="s">
        <v>1164</v>
      </c>
      <c r="C31" s="18"/>
      <c r="D31" s="18"/>
      <c r="E31" s="18"/>
      <c r="F31" s="18"/>
      <c r="G31" s="18"/>
      <c r="H31" s="18"/>
    </row>
    <row r="32" customFormat="false" ht="15" hidden="false" customHeight="true" outlineLevel="0" collapsed="false">
      <c r="A32" s="37" t="s">
        <v>1165</v>
      </c>
      <c r="B32" s="18" t="s">
        <v>1166</v>
      </c>
      <c r="C32" s="18"/>
      <c r="D32" s="18"/>
      <c r="E32" s="18"/>
      <c r="F32" s="18"/>
      <c r="G32" s="18"/>
      <c r="H32" s="18"/>
    </row>
  </sheetData>
  <mergeCells count="17">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12"/>
    <col collapsed="false" customWidth="true" hidden="false" outlineLevel="0" max="4" min="4" style="0" width="50"/>
    <col collapsed="false" customWidth="true" hidden="false" outlineLevel="0" max="5" min="5" style="0" width="40"/>
    <col collapsed="false" customWidth="true" hidden="false" outlineLevel="0" max="6" min="6" style="0" width="14"/>
  </cols>
  <sheetData>
    <row r="1" customFormat="false" ht="19.7" hidden="false" customHeight="false" outlineLevel="0" collapsed="false">
      <c r="A1" s="1" t="s">
        <v>1167</v>
      </c>
    </row>
    <row r="2" customFormat="false" ht="15" hidden="false" customHeight="false" outlineLevel="0" collapsed="false">
      <c r="A2" s="2" t="s">
        <v>1168</v>
      </c>
    </row>
    <row r="3" customFormat="false" ht="30" hidden="false" customHeight="true" outlineLevel="0" collapsed="false">
      <c r="A3" s="17" t="s">
        <v>1169</v>
      </c>
      <c r="B3" s="17" t="s">
        <v>1170</v>
      </c>
      <c r="C3" s="17" t="s">
        <v>1171</v>
      </c>
      <c r="D3" s="17" t="s">
        <v>1172</v>
      </c>
      <c r="E3" s="17" t="s">
        <v>1173</v>
      </c>
      <c r="F3" s="17" t="s">
        <v>107</v>
      </c>
    </row>
    <row r="4" customFormat="false" ht="22.35" hidden="false" customHeight="false" outlineLevel="0" collapsed="false">
      <c r="A4" s="40" t="n">
        <v>46266</v>
      </c>
      <c r="B4" s="41" t="s">
        <v>128</v>
      </c>
      <c r="C4" s="41" t="s">
        <v>1174</v>
      </c>
      <c r="D4" s="41" t="s">
        <v>1175</v>
      </c>
      <c r="E4" s="41" t="s">
        <v>1176</v>
      </c>
      <c r="F4" s="41" t="s">
        <v>1177</v>
      </c>
    </row>
    <row r="5" customFormat="false" ht="15" hidden="false" customHeight="false" outlineLevel="0" collapsed="false">
      <c r="A5" s="42"/>
      <c r="B5" s="29"/>
      <c r="C5" s="29"/>
      <c r="D5" s="29"/>
      <c r="E5" s="29"/>
      <c r="F5" s="29"/>
    </row>
    <row r="6" customFormat="false" ht="15" hidden="false" customHeight="false" outlineLevel="0" collapsed="false">
      <c r="A6" s="42"/>
      <c r="B6" s="29"/>
      <c r="C6" s="29"/>
      <c r="D6" s="29"/>
      <c r="E6" s="29"/>
      <c r="F6" s="29"/>
    </row>
    <row r="7" customFormat="false" ht="15" hidden="false" customHeight="false" outlineLevel="0" collapsed="false">
      <c r="A7" s="42"/>
      <c r="B7" s="29"/>
      <c r="C7" s="29"/>
      <c r="D7" s="29"/>
      <c r="E7" s="29"/>
      <c r="F7" s="29"/>
    </row>
    <row r="8" customFormat="false" ht="15" hidden="false" customHeight="false" outlineLevel="0" collapsed="false">
      <c r="A8" s="42"/>
      <c r="B8" s="29"/>
      <c r="C8" s="29"/>
      <c r="D8" s="29"/>
      <c r="E8" s="29"/>
      <c r="F8" s="29"/>
    </row>
    <row r="9" customFormat="false" ht="15" hidden="false" customHeight="false" outlineLevel="0" collapsed="false">
      <c r="A9" s="42"/>
      <c r="B9" s="29"/>
      <c r="C9" s="29"/>
      <c r="D9" s="29"/>
      <c r="E9" s="29"/>
      <c r="F9" s="29"/>
    </row>
    <row r="10" customFormat="false" ht="15" hidden="false" customHeight="false" outlineLevel="0" collapsed="false">
      <c r="A10" s="42"/>
      <c r="B10" s="29"/>
      <c r="C10" s="29"/>
      <c r="D10" s="29"/>
      <c r="E10" s="29"/>
      <c r="F10" s="29"/>
    </row>
    <row r="11" customFormat="false" ht="15" hidden="false" customHeight="false" outlineLevel="0" collapsed="false">
      <c r="A11" s="42"/>
      <c r="B11" s="29"/>
      <c r="C11" s="29"/>
      <c r="D11" s="29"/>
      <c r="E11" s="29"/>
      <c r="F11" s="29"/>
    </row>
    <row r="12" customFormat="false" ht="15" hidden="false" customHeight="false" outlineLevel="0" collapsed="false">
      <c r="A12" s="42"/>
      <c r="B12" s="29"/>
      <c r="C12" s="29"/>
      <c r="D12" s="29"/>
      <c r="E12" s="29"/>
      <c r="F12" s="29"/>
    </row>
    <row r="13" customFormat="false" ht="15" hidden="false" customHeight="false" outlineLevel="0" collapsed="false">
      <c r="A13" s="42"/>
      <c r="B13" s="29"/>
      <c r="C13" s="29"/>
      <c r="D13" s="29"/>
      <c r="E13" s="29"/>
      <c r="F13" s="29"/>
    </row>
    <row r="14" customFormat="false" ht="15" hidden="false" customHeight="false" outlineLevel="0" collapsed="false">
      <c r="A14" s="42"/>
      <c r="B14" s="29"/>
      <c r="C14" s="29"/>
      <c r="D14" s="29"/>
      <c r="E14" s="29"/>
      <c r="F14" s="29"/>
    </row>
    <row r="15" customFormat="false" ht="15" hidden="false" customHeight="false" outlineLevel="0" collapsed="false">
      <c r="A15" s="42"/>
      <c r="B15" s="29"/>
      <c r="C15" s="29"/>
      <c r="D15" s="29"/>
      <c r="E15" s="29"/>
      <c r="F15" s="29"/>
    </row>
    <row r="16" customFormat="false" ht="15" hidden="false" customHeight="false" outlineLevel="0" collapsed="false">
      <c r="A16" s="42"/>
      <c r="B16" s="29"/>
      <c r="C16" s="29"/>
      <c r="D16" s="29"/>
      <c r="E16" s="29"/>
      <c r="F16" s="29"/>
    </row>
    <row r="17" customFormat="false" ht="15" hidden="false" customHeight="false" outlineLevel="0" collapsed="false">
      <c r="A17" s="42"/>
      <c r="B17" s="29"/>
      <c r="C17" s="29"/>
      <c r="D17" s="29"/>
      <c r="E17" s="29"/>
      <c r="F17" s="29"/>
    </row>
    <row r="18" customFormat="false" ht="15" hidden="false" customHeight="false" outlineLevel="0" collapsed="false">
      <c r="A18" s="42"/>
      <c r="B18" s="29"/>
      <c r="C18" s="29"/>
      <c r="D18" s="29"/>
      <c r="E18" s="29"/>
      <c r="F18" s="29"/>
    </row>
    <row r="19" customFormat="false" ht="15" hidden="false" customHeight="false" outlineLevel="0" collapsed="false">
      <c r="A19" s="42"/>
      <c r="B19" s="29"/>
      <c r="C19" s="29"/>
      <c r="D19" s="29"/>
      <c r="E19" s="29"/>
      <c r="F19" s="29"/>
    </row>
    <row r="20" customFormat="false" ht="15" hidden="false" customHeight="false" outlineLevel="0" collapsed="false">
      <c r="A20" s="42"/>
      <c r="B20" s="29"/>
      <c r="C20" s="29"/>
      <c r="D20" s="29"/>
      <c r="E20" s="29"/>
      <c r="F20" s="29"/>
    </row>
    <row r="21" customFormat="false" ht="15" hidden="false" customHeight="false" outlineLevel="0" collapsed="false">
      <c r="A21" s="42"/>
      <c r="B21" s="29"/>
      <c r="C21" s="29"/>
      <c r="D21" s="29"/>
      <c r="E21" s="29"/>
      <c r="F21" s="29"/>
    </row>
    <row r="22" customFormat="false" ht="15" hidden="false" customHeight="false" outlineLevel="0" collapsed="false">
      <c r="A22" s="42"/>
      <c r="B22" s="29"/>
      <c r="C22" s="29"/>
      <c r="D22" s="29"/>
      <c r="E22" s="29"/>
      <c r="F22" s="29"/>
    </row>
    <row r="23" customFormat="false" ht="15" hidden="false" customHeight="false" outlineLevel="0" collapsed="false">
      <c r="A23" s="42"/>
      <c r="B23" s="29"/>
      <c r="C23" s="29"/>
      <c r="D23" s="29"/>
      <c r="E23" s="29"/>
      <c r="F23" s="29"/>
    </row>
    <row r="24" customFormat="false" ht="15" hidden="false" customHeight="false" outlineLevel="0" collapsed="false">
      <c r="A24" s="42"/>
      <c r="B24" s="29"/>
      <c r="C24" s="29"/>
      <c r="D24" s="29"/>
      <c r="E24" s="29"/>
      <c r="F24" s="29"/>
    </row>
    <row r="25" customFormat="false" ht="15" hidden="false" customHeight="false" outlineLevel="0" collapsed="false">
      <c r="A25" s="42"/>
      <c r="B25" s="29"/>
      <c r="C25" s="29"/>
      <c r="D25" s="29"/>
      <c r="E25" s="29"/>
      <c r="F25" s="29"/>
    </row>
    <row r="26" customFormat="false" ht="15" hidden="false" customHeight="false" outlineLevel="0" collapsed="false">
      <c r="A26" s="42"/>
      <c r="B26" s="29"/>
      <c r="C26" s="29"/>
      <c r="D26" s="29"/>
      <c r="E26" s="29"/>
      <c r="F26" s="29"/>
    </row>
    <row r="27" customFormat="false" ht="15" hidden="false" customHeight="false" outlineLevel="0" collapsed="false">
      <c r="A27" s="42"/>
      <c r="B27" s="29"/>
      <c r="C27" s="29"/>
      <c r="D27" s="29"/>
      <c r="E27" s="29"/>
      <c r="F27" s="29"/>
    </row>
    <row r="28" customFormat="false" ht="15" hidden="false" customHeight="false" outlineLevel="0" collapsed="false">
      <c r="A28" s="42"/>
      <c r="B28" s="29"/>
      <c r="C28" s="29"/>
      <c r="D28" s="29"/>
      <c r="E28" s="29"/>
      <c r="F28" s="29"/>
    </row>
    <row r="29" customFormat="false" ht="15" hidden="false" customHeight="false" outlineLevel="0" collapsed="false">
      <c r="A29" s="42"/>
      <c r="B29" s="29"/>
      <c r="C29" s="29"/>
      <c r="D29" s="29"/>
      <c r="E29" s="29"/>
      <c r="F29" s="29"/>
    </row>
    <row r="30" customFormat="false" ht="15" hidden="false" customHeight="false" outlineLevel="0" collapsed="false">
      <c r="A30" s="42"/>
      <c r="B30" s="29"/>
      <c r="C30" s="29"/>
      <c r="D30" s="29"/>
      <c r="E30" s="29"/>
      <c r="F30" s="29"/>
    </row>
    <row r="31" customFormat="false" ht="15" hidden="false" customHeight="false" outlineLevel="0" collapsed="false">
      <c r="A31" s="42"/>
      <c r="B31" s="29"/>
      <c r="C31" s="29"/>
      <c r="D31" s="29"/>
      <c r="E31" s="29"/>
      <c r="F31" s="29"/>
    </row>
    <row r="32" customFormat="false" ht="15" hidden="false" customHeight="false" outlineLevel="0" collapsed="false">
      <c r="A32" s="42"/>
      <c r="B32" s="29"/>
      <c r="C32" s="29"/>
      <c r="D32" s="29"/>
      <c r="E32" s="29"/>
      <c r="F32" s="29"/>
    </row>
    <row r="33" customFormat="false" ht="15" hidden="false" customHeight="false" outlineLevel="0" collapsed="false">
      <c r="A33" s="42"/>
      <c r="B33" s="29"/>
      <c r="C33" s="29"/>
      <c r="D33" s="29"/>
      <c r="E33" s="29"/>
      <c r="F33" s="29"/>
    </row>
    <row r="34" customFormat="false" ht="15" hidden="false" customHeight="false" outlineLevel="0" collapsed="false">
      <c r="A34" s="42"/>
      <c r="B34" s="29"/>
      <c r="C34" s="29"/>
      <c r="D34" s="29"/>
      <c r="E34" s="29"/>
      <c r="F34" s="29"/>
    </row>
    <row r="35" customFormat="false" ht="15" hidden="false" customHeight="false" outlineLevel="0" collapsed="false">
      <c r="A35" s="42"/>
      <c r="B35" s="29"/>
      <c r="C35" s="29"/>
      <c r="D35" s="29"/>
      <c r="E35" s="29"/>
      <c r="F35" s="29"/>
    </row>
    <row r="36" customFormat="false" ht="15" hidden="false" customHeight="false" outlineLevel="0" collapsed="false">
      <c r="A36" s="42"/>
      <c r="B36" s="29"/>
      <c r="C36" s="29"/>
      <c r="D36" s="29"/>
      <c r="E36" s="29"/>
      <c r="F36" s="29"/>
    </row>
    <row r="37" customFormat="false" ht="15" hidden="false" customHeight="false" outlineLevel="0" collapsed="false">
      <c r="A37" s="42"/>
      <c r="B37" s="29"/>
      <c r="C37" s="29"/>
      <c r="D37" s="29"/>
      <c r="E37" s="29"/>
      <c r="F37" s="29"/>
    </row>
    <row r="38" customFormat="false" ht="15" hidden="false" customHeight="false" outlineLevel="0" collapsed="false">
      <c r="A38" s="42"/>
      <c r="B38" s="29"/>
      <c r="C38" s="29"/>
      <c r="D38" s="29"/>
      <c r="E38" s="29"/>
      <c r="F38" s="29"/>
    </row>
    <row r="39" customFormat="false" ht="15" hidden="false" customHeight="false" outlineLevel="0" collapsed="false">
      <c r="A39" s="42"/>
      <c r="B39" s="29"/>
      <c r="C39" s="29"/>
      <c r="D39" s="29"/>
      <c r="E39" s="29"/>
      <c r="F39" s="29"/>
    </row>
    <row r="40" customFormat="false" ht="15" hidden="false" customHeight="false" outlineLevel="0" collapsed="false">
      <c r="A40" s="42"/>
      <c r="B40" s="29"/>
      <c r="C40" s="29"/>
      <c r="D40" s="29"/>
      <c r="E40" s="29"/>
      <c r="F40" s="29"/>
    </row>
    <row r="41" customFormat="false" ht="15" hidden="false" customHeight="false" outlineLevel="0" collapsed="false">
      <c r="A41" s="42"/>
      <c r="B41" s="29"/>
      <c r="C41" s="29"/>
      <c r="D41" s="29"/>
      <c r="E41" s="29"/>
      <c r="F41" s="29"/>
    </row>
    <row r="42" customFormat="false" ht="15" hidden="false" customHeight="false" outlineLevel="0" collapsed="false">
      <c r="A42" s="42"/>
      <c r="B42" s="29"/>
      <c r="C42" s="29"/>
      <c r="D42" s="29"/>
      <c r="E42" s="29"/>
      <c r="F42" s="29"/>
    </row>
    <row r="43" customFormat="false" ht="15" hidden="false" customHeight="false" outlineLevel="0" collapsed="false">
      <c r="A43" s="42"/>
      <c r="B43" s="29"/>
      <c r="C43" s="29"/>
      <c r="D43" s="29"/>
      <c r="E43" s="29"/>
      <c r="F43" s="29"/>
    </row>
    <row r="44" customFormat="false" ht="15" hidden="false" customHeight="false" outlineLevel="0" collapsed="false">
      <c r="A44" s="42"/>
      <c r="B44" s="29"/>
      <c r="C44" s="29"/>
      <c r="D44" s="29"/>
      <c r="E44" s="29"/>
      <c r="F44" s="29"/>
    </row>
    <row r="45" customFormat="false" ht="15" hidden="false" customHeight="false" outlineLevel="0" collapsed="false">
      <c r="A45" s="42"/>
      <c r="B45" s="29"/>
      <c r="C45" s="29"/>
      <c r="D45" s="29"/>
      <c r="E45" s="29"/>
      <c r="F45" s="29"/>
    </row>
    <row r="46" customFormat="false" ht="15" hidden="false" customHeight="false" outlineLevel="0" collapsed="false">
      <c r="A46" s="42"/>
      <c r="B46" s="29"/>
      <c r="C46" s="29"/>
      <c r="D46" s="29"/>
      <c r="E46" s="29"/>
      <c r="F46" s="29"/>
    </row>
    <row r="47" customFormat="false" ht="15" hidden="false" customHeight="false" outlineLevel="0" collapsed="false">
      <c r="A47" s="42"/>
      <c r="B47" s="29"/>
      <c r="C47" s="29"/>
      <c r="D47" s="29"/>
      <c r="E47" s="29"/>
      <c r="F47" s="29"/>
    </row>
    <row r="48" customFormat="false" ht="15" hidden="false" customHeight="false" outlineLevel="0" collapsed="false">
      <c r="A48" s="42"/>
      <c r="B48" s="29"/>
      <c r="C48" s="29"/>
      <c r="D48" s="29"/>
      <c r="E48" s="29"/>
      <c r="F48" s="29"/>
    </row>
    <row r="49" customFormat="false" ht="15" hidden="false" customHeight="false" outlineLevel="0" collapsed="false">
      <c r="A49" s="42"/>
      <c r="B49" s="29"/>
      <c r="C49" s="29"/>
      <c r="D49" s="29"/>
      <c r="E49" s="29"/>
      <c r="F49" s="29"/>
    </row>
    <row r="50" customFormat="false" ht="15" hidden="false" customHeight="false" outlineLevel="0" collapsed="false">
      <c r="A50" s="42"/>
      <c r="B50" s="29"/>
      <c r="C50" s="29"/>
      <c r="D50" s="29"/>
      <c r="E50" s="29"/>
      <c r="F50" s="29"/>
    </row>
    <row r="51" customFormat="false" ht="15" hidden="false" customHeight="false" outlineLevel="0" collapsed="false">
      <c r="A51" s="42"/>
      <c r="B51" s="29"/>
      <c r="C51" s="29"/>
      <c r="D51" s="29"/>
      <c r="E51" s="29"/>
      <c r="F51" s="29"/>
    </row>
    <row r="52" customFormat="false" ht="15" hidden="false" customHeight="false" outlineLevel="0" collapsed="false">
      <c r="A52" s="42"/>
      <c r="B52" s="29"/>
      <c r="C52" s="29"/>
      <c r="D52" s="29"/>
      <c r="E52" s="29"/>
      <c r="F52" s="29"/>
    </row>
    <row r="53" customFormat="false" ht="15" hidden="false" customHeight="false" outlineLevel="0" collapsed="false">
      <c r="A53" s="42"/>
      <c r="B53" s="29"/>
      <c r="C53" s="29"/>
      <c r="D53" s="29"/>
      <c r="E53" s="29"/>
      <c r="F53" s="29"/>
    </row>
    <row r="54" customFormat="false" ht="15" hidden="false" customHeight="false" outlineLevel="0" collapsed="false">
      <c r="A54" s="42"/>
      <c r="B54" s="29"/>
      <c r="C54" s="29"/>
      <c r="D54" s="29"/>
      <c r="E54" s="29"/>
      <c r="F54" s="29"/>
    </row>
    <row r="55" customFormat="false" ht="15" hidden="false" customHeight="false" outlineLevel="0" collapsed="false">
      <c r="A55" s="42"/>
      <c r="B55" s="29"/>
      <c r="C55" s="29"/>
      <c r="D55" s="29"/>
      <c r="E55" s="29"/>
      <c r="F55" s="29"/>
    </row>
    <row r="56" customFormat="false" ht="15" hidden="false" customHeight="false" outlineLevel="0" collapsed="false">
      <c r="A56" s="42"/>
      <c r="B56" s="29"/>
      <c r="C56" s="29"/>
      <c r="D56" s="29"/>
      <c r="E56" s="29"/>
      <c r="F56" s="29"/>
    </row>
    <row r="57" customFormat="false" ht="15" hidden="false" customHeight="false" outlineLevel="0" collapsed="false">
      <c r="A57" s="42"/>
      <c r="B57" s="29"/>
      <c r="C57" s="29"/>
      <c r="D57" s="29"/>
      <c r="E57" s="29"/>
      <c r="F57" s="29"/>
    </row>
    <row r="58" customFormat="false" ht="15" hidden="false" customHeight="false" outlineLevel="0" collapsed="false">
      <c r="A58" s="42"/>
      <c r="B58" s="29"/>
      <c r="C58" s="29"/>
      <c r="D58" s="29"/>
      <c r="E58" s="29"/>
      <c r="F58" s="29"/>
    </row>
    <row r="59" customFormat="false" ht="15" hidden="false" customHeight="false" outlineLevel="0" collapsed="false">
      <c r="A59" s="42"/>
      <c r="B59" s="29"/>
      <c r="C59" s="29"/>
      <c r="D59" s="29"/>
      <c r="E59" s="29"/>
      <c r="F59" s="29"/>
    </row>
    <row r="60" customFormat="false" ht="15" hidden="false" customHeight="false" outlineLevel="0" collapsed="false">
      <c r="A60" s="42"/>
      <c r="B60" s="29"/>
      <c r="C60" s="29"/>
      <c r="D60" s="29"/>
      <c r="E60" s="29"/>
      <c r="F60" s="29"/>
    </row>
    <row r="61" customFormat="false" ht="15" hidden="false" customHeight="false" outlineLevel="0" collapsed="false">
      <c r="A61" s="42"/>
      <c r="B61" s="29"/>
      <c r="C61" s="29"/>
      <c r="D61" s="29"/>
      <c r="E61" s="29"/>
      <c r="F61" s="29"/>
    </row>
    <row r="62" customFormat="false" ht="15" hidden="false" customHeight="false" outlineLevel="0" collapsed="false">
      <c r="A62" s="42"/>
      <c r="B62" s="29"/>
      <c r="C62" s="29"/>
      <c r="D62" s="29"/>
      <c r="E62" s="29"/>
      <c r="F62" s="29"/>
    </row>
    <row r="63" customFormat="false" ht="15" hidden="false" customHeight="false" outlineLevel="0" collapsed="false">
      <c r="A63" s="42"/>
      <c r="B63" s="29"/>
      <c r="C63" s="29"/>
      <c r="D63" s="29"/>
      <c r="E63" s="29"/>
      <c r="F63" s="29"/>
    </row>
    <row r="64" customFormat="false" ht="15" hidden="false" customHeight="false" outlineLevel="0" collapsed="false">
      <c r="A64" s="42"/>
      <c r="B64" s="29"/>
      <c r="C64" s="29"/>
      <c r="D64" s="29"/>
      <c r="E64" s="29"/>
      <c r="F64" s="29"/>
    </row>
    <row r="65" customFormat="false" ht="15" hidden="false" customHeight="false" outlineLevel="0" collapsed="false">
      <c r="A65" s="42"/>
      <c r="B65" s="29"/>
      <c r="C65" s="29"/>
      <c r="D65" s="29"/>
      <c r="E65" s="29"/>
      <c r="F65" s="29"/>
    </row>
    <row r="66" customFormat="false" ht="15" hidden="false" customHeight="false" outlineLevel="0" collapsed="false">
      <c r="A66" s="42"/>
      <c r="B66" s="29"/>
      <c r="C66" s="29"/>
      <c r="D66" s="29"/>
      <c r="E66" s="29"/>
      <c r="F66" s="29"/>
    </row>
    <row r="67" customFormat="false" ht="15" hidden="false" customHeight="false" outlineLevel="0" collapsed="false">
      <c r="A67" s="42"/>
      <c r="B67" s="29"/>
      <c r="C67" s="29"/>
      <c r="D67" s="29"/>
      <c r="E67" s="29"/>
      <c r="F67" s="29"/>
    </row>
    <row r="68" customFormat="false" ht="15" hidden="false" customHeight="false" outlineLevel="0" collapsed="false">
      <c r="A68" s="42"/>
      <c r="B68" s="29"/>
      <c r="C68" s="29"/>
      <c r="D68" s="29"/>
      <c r="E68" s="29"/>
      <c r="F68" s="29"/>
    </row>
    <row r="69" customFormat="false" ht="15" hidden="false" customHeight="false" outlineLevel="0" collapsed="false">
      <c r="A69" s="42"/>
      <c r="B69" s="29"/>
      <c r="C69" s="29"/>
      <c r="D69" s="29"/>
      <c r="E69" s="29"/>
      <c r="F69" s="29"/>
    </row>
    <row r="70" customFormat="false" ht="15" hidden="false" customHeight="false" outlineLevel="0" collapsed="false">
      <c r="A70" s="42"/>
      <c r="B70" s="29"/>
      <c r="C70" s="29"/>
      <c r="D70" s="29"/>
      <c r="E70" s="29"/>
      <c r="F70" s="29"/>
    </row>
    <row r="71" customFormat="false" ht="15" hidden="false" customHeight="false" outlineLevel="0" collapsed="false">
      <c r="A71" s="42"/>
      <c r="B71" s="29"/>
      <c r="C71" s="29"/>
      <c r="D71" s="29"/>
      <c r="E71" s="29"/>
      <c r="F71" s="29"/>
    </row>
    <row r="72" customFormat="false" ht="15" hidden="false" customHeight="false" outlineLevel="0" collapsed="false">
      <c r="A72" s="42"/>
      <c r="B72" s="29"/>
      <c r="C72" s="29"/>
      <c r="D72" s="29"/>
      <c r="E72" s="29"/>
      <c r="F72" s="29"/>
    </row>
    <row r="73" customFormat="false" ht="15" hidden="false" customHeight="false" outlineLevel="0" collapsed="false">
      <c r="A73" s="42"/>
      <c r="B73" s="29"/>
      <c r="C73" s="29"/>
      <c r="D73" s="29"/>
      <c r="E73" s="29"/>
      <c r="F73" s="29"/>
    </row>
    <row r="74" customFormat="false" ht="15" hidden="false" customHeight="false" outlineLevel="0" collapsed="false">
      <c r="A74" s="42"/>
      <c r="B74" s="29"/>
      <c r="C74" s="29"/>
      <c r="D74" s="29"/>
      <c r="E74" s="29"/>
      <c r="F74" s="29"/>
    </row>
    <row r="75" customFormat="false" ht="15" hidden="false" customHeight="false" outlineLevel="0" collapsed="false">
      <c r="A75" s="42"/>
      <c r="B75" s="29"/>
      <c r="C75" s="29"/>
      <c r="D75" s="29"/>
      <c r="E75" s="29"/>
      <c r="F75" s="29"/>
    </row>
    <row r="76" customFormat="false" ht="15" hidden="false" customHeight="false" outlineLevel="0" collapsed="false">
      <c r="A76" s="42"/>
      <c r="B76" s="29"/>
      <c r="C76" s="29"/>
      <c r="D76" s="29"/>
      <c r="E76" s="29"/>
      <c r="F76" s="29"/>
    </row>
    <row r="77" customFormat="false" ht="15" hidden="false" customHeight="false" outlineLevel="0" collapsed="false">
      <c r="A77" s="42"/>
      <c r="B77" s="29"/>
      <c r="C77" s="29"/>
      <c r="D77" s="29"/>
      <c r="E77" s="29"/>
      <c r="F77" s="29"/>
    </row>
    <row r="78" customFormat="false" ht="15" hidden="false" customHeight="false" outlineLevel="0" collapsed="false">
      <c r="A78" s="42"/>
      <c r="B78" s="29"/>
      <c r="C78" s="29"/>
      <c r="D78" s="29"/>
      <c r="E78" s="29"/>
      <c r="F78" s="29"/>
    </row>
    <row r="79" customFormat="false" ht="15" hidden="false" customHeight="false" outlineLevel="0" collapsed="false">
      <c r="A79" s="42"/>
      <c r="B79" s="29"/>
      <c r="C79" s="29"/>
      <c r="D79" s="29"/>
      <c r="E79" s="29"/>
      <c r="F79" s="29"/>
    </row>
    <row r="80" customFormat="false" ht="15" hidden="false" customHeight="false" outlineLevel="0" collapsed="false">
      <c r="A80" s="42"/>
      <c r="B80" s="29"/>
      <c r="C80" s="29"/>
      <c r="D80" s="29"/>
      <c r="E80" s="29"/>
      <c r="F80" s="29"/>
    </row>
    <row r="81" customFormat="false" ht="15" hidden="false" customHeight="false" outlineLevel="0" collapsed="false">
      <c r="A81" s="42"/>
      <c r="B81" s="29"/>
      <c r="C81" s="29"/>
      <c r="D81" s="29"/>
      <c r="E81" s="29"/>
      <c r="F81" s="29"/>
    </row>
    <row r="82" customFormat="false" ht="15" hidden="false" customHeight="false" outlineLevel="0" collapsed="false">
      <c r="A82" s="42"/>
      <c r="B82" s="29"/>
      <c r="C82" s="29"/>
      <c r="D82" s="29"/>
      <c r="E82" s="29"/>
      <c r="F82" s="29"/>
    </row>
    <row r="83" customFormat="false" ht="15" hidden="false" customHeight="false" outlineLevel="0" collapsed="false">
      <c r="A83" s="42"/>
      <c r="B83" s="29"/>
      <c r="C83" s="29"/>
      <c r="D83" s="29"/>
      <c r="E83" s="29"/>
      <c r="F83" s="29"/>
    </row>
    <row r="84" customFormat="false" ht="15" hidden="false" customHeight="false" outlineLevel="0" collapsed="false">
      <c r="A84" s="42"/>
      <c r="B84" s="29"/>
      <c r="C84" s="29"/>
      <c r="D84" s="29"/>
      <c r="E84" s="29"/>
      <c r="F84" s="29"/>
    </row>
    <row r="85" customFormat="false" ht="15" hidden="false" customHeight="false" outlineLevel="0" collapsed="false">
      <c r="A85" s="42"/>
      <c r="B85" s="29"/>
      <c r="C85" s="29"/>
      <c r="D85" s="29"/>
      <c r="E85" s="29"/>
      <c r="F85" s="29"/>
    </row>
    <row r="86" customFormat="false" ht="15" hidden="false" customHeight="false" outlineLevel="0" collapsed="false">
      <c r="A86" s="42"/>
      <c r="B86" s="29"/>
      <c r="C86" s="29"/>
      <c r="D86" s="29"/>
      <c r="E86" s="29"/>
      <c r="F86" s="29"/>
    </row>
    <row r="87" customFormat="false" ht="15" hidden="false" customHeight="false" outlineLevel="0" collapsed="false">
      <c r="A87" s="42"/>
      <c r="B87" s="29"/>
      <c r="C87" s="29"/>
      <c r="D87" s="29"/>
      <c r="E87" s="29"/>
      <c r="F87" s="29"/>
    </row>
    <row r="88" customFormat="false" ht="15" hidden="false" customHeight="false" outlineLevel="0" collapsed="false">
      <c r="A88" s="42"/>
      <c r="B88" s="29"/>
      <c r="C88" s="29"/>
      <c r="D88" s="29"/>
      <c r="E88" s="29"/>
      <c r="F88" s="29"/>
    </row>
    <row r="89" customFormat="false" ht="15" hidden="false" customHeight="false" outlineLevel="0" collapsed="false">
      <c r="A89" s="42"/>
      <c r="B89" s="29"/>
      <c r="C89" s="29"/>
      <c r="D89" s="29"/>
      <c r="E89" s="29"/>
      <c r="F89" s="29"/>
    </row>
    <row r="90" customFormat="false" ht="15" hidden="false" customHeight="false" outlineLevel="0" collapsed="false">
      <c r="A90" s="42"/>
      <c r="B90" s="29"/>
      <c r="C90" s="29"/>
      <c r="D90" s="29"/>
      <c r="E90" s="29"/>
      <c r="F90" s="29"/>
    </row>
    <row r="91" customFormat="false" ht="15" hidden="false" customHeight="false" outlineLevel="0" collapsed="false">
      <c r="A91" s="42"/>
      <c r="B91" s="29"/>
      <c r="C91" s="29"/>
      <c r="D91" s="29"/>
      <c r="E91" s="29"/>
      <c r="F91" s="29"/>
    </row>
    <row r="92" customFormat="false" ht="15" hidden="false" customHeight="false" outlineLevel="0" collapsed="false">
      <c r="A92" s="42"/>
      <c r="B92" s="29"/>
      <c r="C92" s="29"/>
      <c r="D92" s="29"/>
      <c r="E92" s="29"/>
      <c r="F92" s="29"/>
    </row>
    <row r="93" customFormat="false" ht="15" hidden="false" customHeight="false" outlineLevel="0" collapsed="false">
      <c r="A93" s="42"/>
      <c r="B93" s="29"/>
      <c r="C93" s="29"/>
      <c r="D93" s="29"/>
      <c r="E93" s="29"/>
      <c r="F93" s="29"/>
    </row>
    <row r="94" customFormat="false" ht="15" hidden="false" customHeight="false" outlineLevel="0" collapsed="false">
      <c r="A94" s="42"/>
      <c r="B94" s="29"/>
      <c r="C94" s="29"/>
      <c r="D94" s="29"/>
      <c r="E94" s="29"/>
      <c r="F94" s="29"/>
    </row>
    <row r="95" customFormat="false" ht="15" hidden="false" customHeight="false" outlineLevel="0" collapsed="false">
      <c r="A95" s="42"/>
      <c r="B95" s="29"/>
      <c r="C95" s="29"/>
      <c r="D95" s="29"/>
      <c r="E95" s="29"/>
      <c r="F95" s="29"/>
    </row>
    <row r="96" customFormat="false" ht="15" hidden="false" customHeight="false" outlineLevel="0" collapsed="false">
      <c r="A96" s="42"/>
      <c r="B96" s="29"/>
      <c r="C96" s="29"/>
      <c r="D96" s="29"/>
      <c r="E96" s="29"/>
      <c r="F96" s="29"/>
    </row>
    <row r="97" customFormat="false" ht="15" hidden="false" customHeight="false" outlineLevel="0" collapsed="false">
      <c r="A97" s="42"/>
      <c r="B97" s="29"/>
      <c r="C97" s="29"/>
      <c r="D97" s="29"/>
      <c r="E97" s="29"/>
      <c r="F97" s="29"/>
    </row>
    <row r="98" customFormat="false" ht="15" hidden="false" customHeight="false" outlineLevel="0" collapsed="false">
      <c r="A98" s="42"/>
      <c r="B98" s="29"/>
      <c r="C98" s="29"/>
      <c r="D98" s="29"/>
      <c r="E98" s="29"/>
      <c r="F98" s="29"/>
    </row>
    <row r="99" customFormat="false" ht="15" hidden="false" customHeight="false" outlineLevel="0" collapsed="false">
      <c r="A99" s="42"/>
      <c r="B99" s="29"/>
      <c r="C99" s="29"/>
      <c r="D99" s="29"/>
      <c r="E99" s="29"/>
      <c r="F99" s="29"/>
    </row>
    <row r="100" customFormat="false" ht="15" hidden="false" customHeight="false" outlineLevel="0" collapsed="false">
      <c r="A100" s="42"/>
      <c r="B100" s="29"/>
      <c r="C100" s="29"/>
      <c r="D100" s="29"/>
      <c r="E100" s="29"/>
      <c r="F100" s="29"/>
    </row>
    <row r="101" customFormat="false" ht="15" hidden="false" customHeight="false" outlineLevel="0" collapsed="false">
      <c r="A101" s="42"/>
      <c r="B101" s="29"/>
      <c r="C101" s="29"/>
      <c r="D101" s="29"/>
      <c r="E101" s="29"/>
      <c r="F101" s="29"/>
    </row>
    <row r="102" customFormat="false" ht="15" hidden="false" customHeight="false" outlineLevel="0" collapsed="false">
      <c r="A102" s="42"/>
      <c r="B102" s="29"/>
      <c r="C102" s="29"/>
      <c r="D102" s="29"/>
      <c r="E102" s="29"/>
      <c r="F102" s="29"/>
    </row>
    <row r="103" customFormat="false" ht="15" hidden="false" customHeight="false" outlineLevel="0" collapsed="false">
      <c r="A103" s="42"/>
      <c r="B103" s="29"/>
      <c r="C103" s="29"/>
      <c r="D103" s="29"/>
      <c r="E103" s="29"/>
      <c r="F103" s="29"/>
    </row>
    <row r="104" customFormat="false" ht="15" hidden="false" customHeight="false" outlineLevel="0" collapsed="false">
      <c r="A104" s="42"/>
      <c r="B104" s="29"/>
      <c r="C104" s="29"/>
      <c r="D104" s="29"/>
      <c r="E104" s="29"/>
      <c r="F104" s="29"/>
    </row>
    <row r="105" customFormat="false" ht="15" hidden="false" customHeight="false" outlineLevel="0" collapsed="false">
      <c r="A105" s="42"/>
      <c r="B105" s="29"/>
      <c r="C105" s="29"/>
      <c r="D105" s="29"/>
      <c r="E105" s="29"/>
      <c r="F105" s="29"/>
    </row>
    <row r="106" customFormat="false" ht="15" hidden="false" customHeight="false" outlineLevel="0" collapsed="false">
      <c r="A106" s="42"/>
      <c r="B106" s="29"/>
      <c r="C106" s="29"/>
      <c r="D106" s="29"/>
      <c r="E106" s="29"/>
      <c r="F106" s="29"/>
    </row>
    <row r="107" customFormat="false" ht="15" hidden="false" customHeight="false" outlineLevel="0" collapsed="false">
      <c r="A107" s="42"/>
      <c r="B107" s="29"/>
      <c r="C107" s="29"/>
      <c r="D107" s="29"/>
      <c r="E107" s="29"/>
      <c r="F107" s="29"/>
    </row>
    <row r="108" customFormat="false" ht="15" hidden="false" customHeight="false" outlineLevel="0" collapsed="false">
      <c r="A108" s="42"/>
      <c r="B108" s="29"/>
      <c r="C108" s="29"/>
      <c r="D108" s="29"/>
      <c r="E108" s="29"/>
      <c r="F108" s="29"/>
    </row>
    <row r="109" customFormat="false" ht="15" hidden="false" customHeight="false" outlineLevel="0" collapsed="false">
      <c r="A109" s="42"/>
      <c r="B109" s="29"/>
      <c r="C109" s="29"/>
      <c r="D109" s="29"/>
      <c r="E109" s="29"/>
      <c r="F109" s="29"/>
    </row>
    <row r="110" customFormat="false" ht="15" hidden="false" customHeight="false" outlineLevel="0" collapsed="false">
      <c r="A110" s="42"/>
      <c r="B110" s="29"/>
      <c r="C110" s="29"/>
      <c r="D110" s="29"/>
      <c r="E110" s="29"/>
      <c r="F110" s="29"/>
    </row>
    <row r="111" customFormat="false" ht="15" hidden="false" customHeight="false" outlineLevel="0" collapsed="false">
      <c r="A111" s="42"/>
      <c r="B111" s="29"/>
      <c r="C111" s="29"/>
      <c r="D111" s="29"/>
      <c r="E111" s="29"/>
      <c r="F111" s="29"/>
    </row>
    <row r="112" customFormat="false" ht="15" hidden="false" customHeight="false" outlineLevel="0" collapsed="false">
      <c r="A112" s="42"/>
      <c r="B112" s="29"/>
      <c r="C112" s="29"/>
      <c r="D112" s="29"/>
      <c r="E112" s="29"/>
      <c r="F112" s="29"/>
    </row>
    <row r="113" customFormat="false" ht="15" hidden="false" customHeight="false" outlineLevel="0" collapsed="false">
      <c r="A113" s="42"/>
      <c r="B113" s="29"/>
      <c r="C113" s="29"/>
      <c r="D113" s="29"/>
      <c r="E113" s="29"/>
      <c r="F113" s="29"/>
    </row>
    <row r="114" customFormat="false" ht="15" hidden="false" customHeight="false" outlineLevel="0" collapsed="false">
      <c r="A114" s="42"/>
      <c r="B114" s="29"/>
      <c r="C114" s="29"/>
      <c r="D114" s="29"/>
      <c r="E114" s="29"/>
      <c r="F114" s="29"/>
    </row>
    <row r="115" customFormat="false" ht="15" hidden="false" customHeight="false" outlineLevel="0" collapsed="false">
      <c r="A115" s="42"/>
      <c r="B115" s="29"/>
      <c r="C115" s="29"/>
      <c r="D115" s="29"/>
      <c r="E115" s="29"/>
      <c r="F115" s="29"/>
    </row>
    <row r="116" customFormat="false" ht="15" hidden="false" customHeight="false" outlineLevel="0" collapsed="false">
      <c r="A116" s="42"/>
      <c r="B116" s="29"/>
      <c r="C116" s="29"/>
      <c r="D116" s="29"/>
      <c r="E116" s="29"/>
      <c r="F116" s="29"/>
    </row>
    <row r="117" customFormat="false" ht="15" hidden="false" customHeight="false" outlineLevel="0" collapsed="false">
      <c r="A117" s="42"/>
      <c r="B117" s="29"/>
      <c r="C117" s="29"/>
      <c r="D117" s="29"/>
      <c r="E117" s="29"/>
      <c r="F117" s="29"/>
    </row>
    <row r="118" customFormat="false" ht="15" hidden="false" customHeight="false" outlineLevel="0" collapsed="false">
      <c r="A118" s="42"/>
      <c r="B118" s="29"/>
      <c r="C118" s="29"/>
      <c r="D118" s="29"/>
      <c r="E118" s="29"/>
      <c r="F118" s="29"/>
    </row>
    <row r="119" customFormat="false" ht="15" hidden="false" customHeight="false" outlineLevel="0" collapsed="false">
      <c r="A119" s="42"/>
      <c r="B119" s="29"/>
      <c r="C119" s="29"/>
      <c r="D119" s="29"/>
      <c r="E119" s="29"/>
      <c r="F119" s="29"/>
    </row>
    <row r="120" customFormat="false" ht="15" hidden="false" customHeight="false" outlineLevel="0" collapsed="false">
      <c r="A120" s="42"/>
      <c r="B120" s="29"/>
      <c r="C120" s="29"/>
      <c r="D120" s="29"/>
      <c r="E120" s="29"/>
      <c r="F120" s="29"/>
    </row>
    <row r="121" customFormat="false" ht="15" hidden="false" customHeight="false" outlineLevel="0" collapsed="false">
      <c r="A121" s="42"/>
      <c r="B121" s="29"/>
      <c r="C121" s="29"/>
      <c r="D121" s="29"/>
      <c r="E121" s="29"/>
      <c r="F121" s="29"/>
    </row>
    <row r="122" customFormat="false" ht="15" hidden="false" customHeight="false" outlineLevel="0" collapsed="false">
      <c r="A122" s="42"/>
      <c r="B122" s="29"/>
      <c r="C122" s="29"/>
      <c r="D122" s="29"/>
      <c r="E122" s="29"/>
      <c r="F122" s="29"/>
    </row>
    <row r="123" customFormat="false" ht="15" hidden="false" customHeight="false" outlineLevel="0" collapsed="false">
      <c r="A123" s="42"/>
      <c r="B123" s="29"/>
      <c r="C123" s="29"/>
      <c r="D123" s="29"/>
      <c r="E123" s="29"/>
      <c r="F123" s="29"/>
    </row>
    <row r="124" customFormat="false" ht="15" hidden="false" customHeight="false" outlineLevel="0" collapsed="false">
      <c r="A124" s="42"/>
      <c r="B124" s="29"/>
      <c r="C124" s="29"/>
      <c r="D124" s="29"/>
      <c r="E124" s="29"/>
      <c r="F124" s="29"/>
    </row>
    <row r="125" customFormat="false" ht="15" hidden="false" customHeight="false" outlineLevel="0" collapsed="false">
      <c r="A125" s="42"/>
      <c r="B125" s="29"/>
      <c r="C125" s="29"/>
      <c r="D125" s="29"/>
      <c r="E125" s="29"/>
      <c r="F125" s="29"/>
    </row>
    <row r="126" customFormat="false" ht="15" hidden="false" customHeight="false" outlineLevel="0" collapsed="false">
      <c r="A126" s="42"/>
      <c r="B126" s="29"/>
      <c r="C126" s="29"/>
      <c r="D126" s="29"/>
      <c r="E126" s="29"/>
      <c r="F126" s="29"/>
    </row>
    <row r="127" customFormat="false" ht="15" hidden="false" customHeight="false" outlineLevel="0" collapsed="false">
      <c r="A127" s="42"/>
      <c r="B127" s="29"/>
      <c r="C127" s="29"/>
      <c r="D127" s="29"/>
      <c r="E127" s="29"/>
      <c r="F127" s="29"/>
    </row>
    <row r="128" customFormat="false" ht="15" hidden="false" customHeight="false" outlineLevel="0" collapsed="false">
      <c r="A128" s="42"/>
      <c r="B128" s="29"/>
      <c r="C128" s="29"/>
      <c r="D128" s="29"/>
      <c r="E128" s="29"/>
      <c r="F128" s="29"/>
    </row>
    <row r="129" customFormat="false" ht="15" hidden="false" customHeight="false" outlineLevel="0" collapsed="false">
      <c r="A129" s="42"/>
      <c r="B129" s="29"/>
      <c r="C129" s="29"/>
      <c r="D129" s="29"/>
      <c r="E129" s="29"/>
      <c r="F129" s="29"/>
    </row>
    <row r="130" customFormat="false" ht="15" hidden="false" customHeight="false" outlineLevel="0" collapsed="false">
      <c r="A130" s="42"/>
      <c r="B130" s="29"/>
      <c r="C130" s="29"/>
      <c r="D130" s="29"/>
      <c r="E130" s="29"/>
      <c r="F130" s="29"/>
    </row>
    <row r="131" customFormat="false" ht="15" hidden="false" customHeight="false" outlineLevel="0" collapsed="false">
      <c r="A131" s="42"/>
      <c r="B131" s="29"/>
      <c r="C131" s="29"/>
      <c r="D131" s="29"/>
      <c r="E131" s="29"/>
      <c r="F131" s="29"/>
    </row>
    <row r="132" customFormat="false" ht="15" hidden="false" customHeight="false" outlineLevel="0" collapsed="false">
      <c r="A132" s="42"/>
      <c r="B132" s="29"/>
      <c r="C132" s="29"/>
      <c r="D132" s="29"/>
      <c r="E132" s="29"/>
      <c r="F132" s="29"/>
    </row>
    <row r="133" customFormat="false" ht="15" hidden="false" customHeight="false" outlineLevel="0" collapsed="false">
      <c r="A133" s="42"/>
      <c r="B133" s="29"/>
      <c r="C133" s="29"/>
      <c r="D133" s="29"/>
      <c r="E133" s="29"/>
      <c r="F133" s="29"/>
    </row>
    <row r="134" customFormat="false" ht="15" hidden="false" customHeight="false" outlineLevel="0" collapsed="false">
      <c r="A134" s="42"/>
      <c r="B134" s="29"/>
      <c r="C134" s="29"/>
      <c r="D134" s="29"/>
      <c r="E134" s="29"/>
      <c r="F134" s="29"/>
    </row>
    <row r="135" customFormat="false" ht="15" hidden="false" customHeight="false" outlineLevel="0" collapsed="false">
      <c r="A135" s="42"/>
      <c r="B135" s="29"/>
      <c r="C135" s="29"/>
      <c r="D135" s="29"/>
      <c r="E135" s="29"/>
      <c r="F135" s="29"/>
    </row>
    <row r="136" customFormat="false" ht="15" hidden="false" customHeight="false" outlineLevel="0" collapsed="false">
      <c r="A136" s="42"/>
      <c r="B136" s="29"/>
      <c r="C136" s="29"/>
      <c r="D136" s="29"/>
      <c r="E136" s="29"/>
      <c r="F136" s="29"/>
    </row>
    <row r="137" customFormat="false" ht="15" hidden="false" customHeight="false" outlineLevel="0" collapsed="false">
      <c r="A137" s="42"/>
      <c r="B137" s="29"/>
      <c r="C137" s="29"/>
      <c r="D137" s="29"/>
      <c r="E137" s="29"/>
      <c r="F137" s="29"/>
    </row>
    <row r="138" customFormat="false" ht="15" hidden="false" customHeight="false" outlineLevel="0" collapsed="false">
      <c r="A138" s="42"/>
      <c r="B138" s="29"/>
      <c r="C138" s="29"/>
      <c r="D138" s="29"/>
      <c r="E138" s="29"/>
      <c r="F138" s="29"/>
    </row>
    <row r="139" customFormat="false" ht="15" hidden="false" customHeight="false" outlineLevel="0" collapsed="false">
      <c r="A139" s="42"/>
      <c r="B139" s="29"/>
      <c r="C139" s="29"/>
      <c r="D139" s="29"/>
      <c r="E139" s="29"/>
      <c r="F139" s="29"/>
    </row>
    <row r="140" customFormat="false" ht="15" hidden="false" customHeight="false" outlineLevel="0" collapsed="false">
      <c r="A140" s="42"/>
      <c r="B140" s="29"/>
      <c r="C140" s="29"/>
      <c r="D140" s="29"/>
      <c r="E140" s="29"/>
      <c r="F140" s="29"/>
    </row>
    <row r="141" customFormat="false" ht="15" hidden="false" customHeight="false" outlineLevel="0" collapsed="false">
      <c r="A141" s="42"/>
      <c r="B141" s="29"/>
      <c r="C141" s="29"/>
      <c r="D141" s="29"/>
      <c r="E141" s="29"/>
      <c r="F141" s="29"/>
    </row>
    <row r="142" customFormat="false" ht="15" hidden="false" customHeight="false" outlineLevel="0" collapsed="false">
      <c r="A142" s="42"/>
      <c r="B142" s="29"/>
      <c r="C142" s="29"/>
      <c r="D142" s="29"/>
      <c r="E142" s="29"/>
      <c r="F142" s="29"/>
    </row>
    <row r="143" customFormat="false" ht="15" hidden="false" customHeight="false" outlineLevel="0" collapsed="false">
      <c r="A143" s="42"/>
      <c r="B143" s="29"/>
      <c r="C143" s="29"/>
      <c r="D143" s="29"/>
      <c r="E143" s="29"/>
      <c r="F143" s="29"/>
    </row>
    <row r="144" customFormat="false" ht="15" hidden="false" customHeight="false" outlineLevel="0" collapsed="false">
      <c r="A144" s="42"/>
      <c r="B144" s="29"/>
      <c r="C144" s="29"/>
      <c r="D144" s="29"/>
      <c r="E144" s="29"/>
      <c r="F144" s="29"/>
    </row>
    <row r="145" customFormat="false" ht="15" hidden="false" customHeight="false" outlineLevel="0" collapsed="false">
      <c r="A145" s="42"/>
      <c r="B145" s="29"/>
      <c r="C145" s="29"/>
      <c r="D145" s="29"/>
      <c r="E145" s="29"/>
      <c r="F145" s="29"/>
    </row>
    <row r="146" customFormat="false" ht="15" hidden="false" customHeight="false" outlineLevel="0" collapsed="false">
      <c r="A146" s="42"/>
      <c r="B146" s="29"/>
      <c r="C146" s="29"/>
      <c r="D146" s="29"/>
      <c r="E146" s="29"/>
      <c r="F146" s="29"/>
    </row>
    <row r="147" customFormat="false" ht="15" hidden="false" customHeight="false" outlineLevel="0" collapsed="false">
      <c r="A147" s="42"/>
      <c r="B147" s="29"/>
      <c r="C147" s="29"/>
      <c r="D147" s="29"/>
      <c r="E147" s="29"/>
      <c r="F147" s="29"/>
    </row>
    <row r="148" customFormat="false" ht="15" hidden="false" customHeight="false" outlineLevel="0" collapsed="false">
      <c r="A148" s="42"/>
      <c r="B148" s="29"/>
      <c r="C148" s="29"/>
      <c r="D148" s="29"/>
      <c r="E148" s="29"/>
      <c r="F148" s="29"/>
    </row>
    <row r="149" customFormat="false" ht="15" hidden="false" customHeight="false" outlineLevel="0" collapsed="false">
      <c r="A149" s="42"/>
      <c r="B149" s="29"/>
      <c r="C149" s="29"/>
      <c r="D149" s="29"/>
      <c r="E149" s="29"/>
      <c r="F149" s="29"/>
    </row>
    <row r="150" customFormat="false" ht="15" hidden="false" customHeight="false" outlineLevel="0" collapsed="false">
      <c r="A150" s="42"/>
      <c r="B150" s="29"/>
      <c r="C150" s="29"/>
      <c r="D150" s="29"/>
      <c r="E150" s="29"/>
      <c r="F150" s="29"/>
    </row>
    <row r="151" customFormat="false" ht="15" hidden="false" customHeight="false" outlineLevel="0" collapsed="false">
      <c r="A151" s="42"/>
      <c r="B151" s="29"/>
      <c r="C151" s="29"/>
      <c r="D151" s="29"/>
      <c r="E151" s="29"/>
      <c r="F151" s="29"/>
    </row>
    <row r="152" customFormat="false" ht="15" hidden="false" customHeight="false" outlineLevel="0" collapsed="false">
      <c r="A152" s="42"/>
      <c r="B152" s="29"/>
      <c r="C152" s="29"/>
      <c r="D152" s="29"/>
      <c r="E152" s="29"/>
      <c r="F152" s="29"/>
    </row>
    <row r="153" customFormat="false" ht="15" hidden="false" customHeight="false" outlineLevel="0" collapsed="false">
      <c r="A153" s="42"/>
      <c r="B153" s="29"/>
      <c r="C153" s="29"/>
      <c r="D153" s="29"/>
      <c r="E153" s="29"/>
      <c r="F153" s="29"/>
    </row>
    <row r="154" customFormat="false" ht="15" hidden="false" customHeight="false" outlineLevel="0" collapsed="false">
      <c r="A154" s="42"/>
      <c r="B154" s="29"/>
      <c r="C154" s="29"/>
      <c r="D154" s="29"/>
      <c r="E154" s="29"/>
      <c r="F154" s="29"/>
    </row>
    <row r="155" customFormat="false" ht="15" hidden="false" customHeight="false" outlineLevel="0" collapsed="false">
      <c r="A155" s="42"/>
      <c r="B155" s="29"/>
      <c r="C155" s="29"/>
      <c r="D155" s="29"/>
      <c r="E155" s="29"/>
      <c r="F155" s="29"/>
    </row>
    <row r="156" customFormat="false" ht="15" hidden="false" customHeight="false" outlineLevel="0" collapsed="false">
      <c r="A156" s="42"/>
      <c r="B156" s="29"/>
      <c r="C156" s="29"/>
      <c r="D156" s="29"/>
      <c r="E156" s="29"/>
      <c r="F156" s="29"/>
    </row>
    <row r="157" customFormat="false" ht="15" hidden="false" customHeight="false" outlineLevel="0" collapsed="false">
      <c r="A157" s="42"/>
      <c r="B157" s="29"/>
      <c r="C157" s="29"/>
      <c r="D157" s="29"/>
      <c r="E157" s="29"/>
      <c r="F157" s="29"/>
    </row>
    <row r="158" customFormat="false" ht="15" hidden="false" customHeight="false" outlineLevel="0" collapsed="false">
      <c r="A158" s="42"/>
      <c r="B158" s="29"/>
      <c r="C158" s="29"/>
      <c r="D158" s="29"/>
      <c r="E158" s="29"/>
      <c r="F158" s="29"/>
    </row>
    <row r="159" customFormat="false" ht="15" hidden="false" customHeight="false" outlineLevel="0" collapsed="false">
      <c r="A159" s="42"/>
      <c r="B159" s="29"/>
      <c r="C159" s="29"/>
      <c r="D159" s="29"/>
      <c r="E159" s="29"/>
      <c r="F159" s="29"/>
    </row>
    <row r="160" customFormat="false" ht="15" hidden="false" customHeight="false" outlineLevel="0" collapsed="false">
      <c r="A160" s="42"/>
      <c r="B160" s="29"/>
      <c r="C160" s="29"/>
      <c r="D160" s="29"/>
      <c r="E160" s="29"/>
      <c r="F160" s="29"/>
    </row>
    <row r="161" customFormat="false" ht="15" hidden="false" customHeight="false" outlineLevel="0" collapsed="false">
      <c r="A161" s="42"/>
      <c r="B161" s="29"/>
      <c r="C161" s="29"/>
      <c r="D161" s="29"/>
      <c r="E161" s="29"/>
      <c r="F161" s="29"/>
    </row>
    <row r="162" customFormat="false" ht="15" hidden="false" customHeight="false" outlineLevel="0" collapsed="false">
      <c r="A162" s="42"/>
      <c r="B162" s="29"/>
      <c r="C162" s="29"/>
      <c r="D162" s="29"/>
      <c r="E162" s="29"/>
      <c r="F162" s="29"/>
    </row>
    <row r="163" customFormat="false" ht="15" hidden="false" customHeight="false" outlineLevel="0" collapsed="false">
      <c r="A163" s="42"/>
      <c r="B163" s="29"/>
      <c r="C163" s="29"/>
      <c r="D163" s="29"/>
      <c r="E163" s="29"/>
      <c r="F163" s="29"/>
    </row>
    <row r="164" customFormat="false" ht="15" hidden="false" customHeight="false" outlineLevel="0" collapsed="false">
      <c r="A164" s="42"/>
      <c r="B164" s="29"/>
      <c r="C164" s="29"/>
      <c r="D164" s="29"/>
      <c r="E164" s="29"/>
      <c r="F164" s="29"/>
    </row>
    <row r="165" customFormat="false" ht="15" hidden="false" customHeight="false" outlineLevel="0" collapsed="false">
      <c r="A165" s="42"/>
      <c r="B165" s="29"/>
      <c r="C165" s="29"/>
      <c r="D165" s="29"/>
      <c r="E165" s="29"/>
      <c r="F165" s="29"/>
    </row>
    <row r="166" customFormat="false" ht="15" hidden="false" customHeight="false" outlineLevel="0" collapsed="false">
      <c r="A166" s="42"/>
      <c r="B166" s="29"/>
      <c r="C166" s="29"/>
      <c r="D166" s="29"/>
      <c r="E166" s="29"/>
      <c r="F166" s="29"/>
    </row>
    <row r="167" customFormat="false" ht="15" hidden="false" customHeight="false" outlineLevel="0" collapsed="false">
      <c r="A167" s="42"/>
      <c r="B167" s="29"/>
      <c r="C167" s="29"/>
      <c r="D167" s="29"/>
      <c r="E167" s="29"/>
      <c r="F167" s="29"/>
    </row>
    <row r="168" customFormat="false" ht="15" hidden="false" customHeight="false" outlineLevel="0" collapsed="false">
      <c r="A168" s="42"/>
      <c r="B168" s="29"/>
      <c r="C168" s="29"/>
      <c r="D168" s="29"/>
      <c r="E168" s="29"/>
      <c r="F168" s="29"/>
    </row>
    <row r="169" customFormat="false" ht="15" hidden="false" customHeight="false" outlineLevel="0" collapsed="false">
      <c r="A169" s="42"/>
      <c r="B169" s="29"/>
      <c r="C169" s="29"/>
      <c r="D169" s="29"/>
      <c r="E169" s="29"/>
      <c r="F169" s="29"/>
    </row>
    <row r="170" customFormat="false" ht="15" hidden="false" customHeight="false" outlineLevel="0" collapsed="false">
      <c r="A170" s="42"/>
      <c r="B170" s="29"/>
      <c r="C170" s="29"/>
      <c r="D170" s="29"/>
      <c r="E170" s="29"/>
      <c r="F170" s="29"/>
    </row>
    <row r="171" customFormat="false" ht="15" hidden="false" customHeight="false" outlineLevel="0" collapsed="false">
      <c r="A171" s="42"/>
      <c r="B171" s="29"/>
      <c r="C171" s="29"/>
      <c r="D171" s="29"/>
      <c r="E171" s="29"/>
      <c r="F171" s="29"/>
    </row>
    <row r="172" customFormat="false" ht="15" hidden="false" customHeight="false" outlineLevel="0" collapsed="false">
      <c r="A172" s="42"/>
      <c r="B172" s="29"/>
      <c r="C172" s="29"/>
      <c r="D172" s="29"/>
      <c r="E172" s="29"/>
      <c r="F172" s="29"/>
    </row>
    <row r="173" customFormat="false" ht="15" hidden="false" customHeight="false" outlineLevel="0" collapsed="false">
      <c r="A173" s="42"/>
      <c r="B173" s="29"/>
      <c r="C173" s="29"/>
      <c r="D173" s="29"/>
      <c r="E173" s="29"/>
      <c r="F173" s="29"/>
    </row>
    <row r="174" customFormat="false" ht="15" hidden="false" customHeight="false" outlineLevel="0" collapsed="false">
      <c r="A174" s="42"/>
      <c r="B174" s="29"/>
      <c r="C174" s="29"/>
      <c r="D174" s="29"/>
      <c r="E174" s="29"/>
      <c r="F174" s="29"/>
    </row>
    <row r="175" customFormat="false" ht="15" hidden="false" customHeight="false" outlineLevel="0" collapsed="false">
      <c r="A175" s="42"/>
      <c r="B175" s="29"/>
      <c r="C175" s="29"/>
      <c r="D175" s="29"/>
      <c r="E175" s="29"/>
      <c r="F175" s="29"/>
    </row>
    <row r="176" customFormat="false" ht="15" hidden="false" customHeight="false" outlineLevel="0" collapsed="false">
      <c r="A176" s="42"/>
      <c r="B176" s="29"/>
      <c r="C176" s="29"/>
      <c r="D176" s="29"/>
      <c r="E176" s="29"/>
      <c r="F176" s="29"/>
    </row>
    <row r="177" customFormat="false" ht="15" hidden="false" customHeight="false" outlineLevel="0" collapsed="false">
      <c r="A177" s="42"/>
      <c r="B177" s="29"/>
      <c r="C177" s="29"/>
      <c r="D177" s="29"/>
      <c r="E177" s="29"/>
      <c r="F177" s="29"/>
    </row>
    <row r="178" customFormat="false" ht="15" hidden="false" customHeight="false" outlineLevel="0" collapsed="false">
      <c r="A178" s="42"/>
      <c r="B178" s="29"/>
      <c r="C178" s="29"/>
      <c r="D178" s="29"/>
      <c r="E178" s="29"/>
      <c r="F178" s="29"/>
    </row>
    <row r="179" customFormat="false" ht="15" hidden="false" customHeight="false" outlineLevel="0" collapsed="false">
      <c r="A179" s="42"/>
      <c r="B179" s="29"/>
      <c r="C179" s="29"/>
      <c r="D179" s="29"/>
      <c r="E179" s="29"/>
      <c r="F179" s="29"/>
    </row>
    <row r="180" customFormat="false" ht="15" hidden="false" customHeight="false" outlineLevel="0" collapsed="false">
      <c r="A180" s="42"/>
      <c r="B180" s="29"/>
      <c r="C180" s="29"/>
      <c r="D180" s="29"/>
      <c r="E180" s="29"/>
      <c r="F180" s="29"/>
    </row>
    <row r="181" customFormat="false" ht="15" hidden="false" customHeight="false" outlineLevel="0" collapsed="false">
      <c r="A181" s="42"/>
      <c r="B181" s="29"/>
      <c r="C181" s="29"/>
      <c r="D181" s="29"/>
      <c r="E181" s="29"/>
      <c r="F181" s="29"/>
    </row>
    <row r="182" customFormat="false" ht="15" hidden="false" customHeight="false" outlineLevel="0" collapsed="false">
      <c r="A182" s="42"/>
      <c r="B182" s="29"/>
      <c r="C182" s="29"/>
      <c r="D182" s="29"/>
      <c r="E182" s="29"/>
      <c r="F182" s="29"/>
    </row>
    <row r="183" customFormat="false" ht="15" hidden="false" customHeight="false" outlineLevel="0" collapsed="false">
      <c r="A183" s="42"/>
      <c r="B183" s="29"/>
      <c r="C183" s="29"/>
      <c r="D183" s="29"/>
      <c r="E183" s="29"/>
      <c r="F183" s="29"/>
    </row>
    <row r="184" customFormat="false" ht="15" hidden="false" customHeight="false" outlineLevel="0" collapsed="false">
      <c r="A184" s="42"/>
      <c r="B184" s="29"/>
      <c r="C184" s="29"/>
      <c r="D184" s="29"/>
      <c r="E184" s="29"/>
      <c r="F184" s="29"/>
    </row>
    <row r="185" customFormat="false" ht="15" hidden="false" customHeight="false" outlineLevel="0" collapsed="false">
      <c r="A185" s="42"/>
      <c r="B185" s="29"/>
      <c r="C185" s="29"/>
      <c r="D185" s="29"/>
      <c r="E185" s="29"/>
      <c r="F185" s="29"/>
    </row>
    <row r="186" customFormat="false" ht="15" hidden="false" customHeight="false" outlineLevel="0" collapsed="false">
      <c r="A186" s="42"/>
      <c r="B186" s="29"/>
      <c r="C186" s="29"/>
      <c r="D186" s="29"/>
      <c r="E186" s="29"/>
      <c r="F186" s="29"/>
    </row>
    <row r="187" customFormat="false" ht="15" hidden="false" customHeight="false" outlineLevel="0" collapsed="false">
      <c r="A187" s="42"/>
      <c r="B187" s="29"/>
      <c r="C187" s="29"/>
      <c r="D187" s="29"/>
      <c r="E187" s="29"/>
      <c r="F187" s="29"/>
    </row>
    <row r="188" customFormat="false" ht="15" hidden="false" customHeight="false" outlineLevel="0" collapsed="false">
      <c r="A188" s="42"/>
      <c r="B188" s="29"/>
      <c r="C188" s="29"/>
      <c r="D188" s="29"/>
      <c r="E188" s="29"/>
      <c r="F188" s="29"/>
    </row>
    <row r="189" customFormat="false" ht="15" hidden="false" customHeight="false" outlineLevel="0" collapsed="false">
      <c r="A189" s="42"/>
      <c r="B189" s="29"/>
      <c r="C189" s="29"/>
      <c r="D189" s="29"/>
      <c r="E189" s="29"/>
      <c r="F189" s="29"/>
    </row>
    <row r="190" customFormat="false" ht="15" hidden="false" customHeight="false" outlineLevel="0" collapsed="false">
      <c r="A190" s="42"/>
      <c r="B190" s="29"/>
      <c r="C190" s="29"/>
      <c r="D190" s="29"/>
      <c r="E190" s="29"/>
      <c r="F190" s="29"/>
    </row>
    <row r="191" customFormat="false" ht="15" hidden="false" customHeight="false" outlineLevel="0" collapsed="false">
      <c r="A191" s="42"/>
      <c r="B191" s="29"/>
      <c r="C191" s="29"/>
      <c r="D191" s="29"/>
      <c r="E191" s="29"/>
      <c r="F191" s="29"/>
    </row>
    <row r="192" customFormat="false" ht="15" hidden="false" customHeight="false" outlineLevel="0" collapsed="false">
      <c r="A192" s="42"/>
      <c r="B192" s="29"/>
      <c r="C192" s="29"/>
      <c r="D192" s="29"/>
      <c r="E192" s="29"/>
      <c r="F192" s="29"/>
    </row>
    <row r="193" customFormat="false" ht="15" hidden="false" customHeight="false" outlineLevel="0" collapsed="false">
      <c r="A193" s="42"/>
      <c r="B193" s="29"/>
      <c r="C193" s="29"/>
      <c r="D193" s="29"/>
      <c r="E193" s="29"/>
      <c r="F193" s="29"/>
    </row>
    <row r="194" customFormat="false" ht="15" hidden="false" customHeight="false" outlineLevel="0" collapsed="false">
      <c r="A194" s="42"/>
      <c r="B194" s="29"/>
      <c r="C194" s="29"/>
      <c r="D194" s="29"/>
      <c r="E194" s="29"/>
      <c r="F194" s="29"/>
    </row>
    <row r="195" customFormat="false" ht="15" hidden="false" customHeight="false" outlineLevel="0" collapsed="false">
      <c r="A195" s="42"/>
      <c r="B195" s="29"/>
      <c r="C195" s="29"/>
      <c r="D195" s="29"/>
      <c r="E195" s="29"/>
      <c r="F195" s="29"/>
    </row>
    <row r="196" customFormat="false" ht="15" hidden="false" customHeight="false" outlineLevel="0" collapsed="false">
      <c r="A196" s="42"/>
      <c r="B196" s="29"/>
      <c r="C196" s="29"/>
      <c r="D196" s="29"/>
      <c r="E196" s="29"/>
      <c r="F196" s="29"/>
    </row>
    <row r="197" customFormat="false" ht="15" hidden="false" customHeight="false" outlineLevel="0" collapsed="false">
      <c r="A197" s="42"/>
      <c r="B197" s="29"/>
      <c r="C197" s="29"/>
      <c r="D197" s="29"/>
      <c r="E197" s="29"/>
      <c r="F197" s="29"/>
    </row>
    <row r="198" customFormat="false" ht="15" hidden="false" customHeight="false" outlineLevel="0" collapsed="false">
      <c r="A198" s="42"/>
      <c r="B198" s="29"/>
      <c r="C198" s="29"/>
      <c r="D198" s="29"/>
      <c r="E198" s="29"/>
      <c r="F198" s="29"/>
    </row>
    <row r="199" customFormat="false" ht="15" hidden="false" customHeight="false" outlineLevel="0" collapsed="false">
      <c r="A199" s="42"/>
      <c r="B199" s="29"/>
      <c r="C199" s="29"/>
      <c r="D199" s="29"/>
      <c r="E199" s="29"/>
      <c r="F199" s="29"/>
    </row>
    <row r="200" customFormat="false" ht="15" hidden="false" customHeight="false" outlineLevel="0" collapsed="false">
      <c r="A200" s="42"/>
      <c r="B200" s="29"/>
      <c r="C200" s="29"/>
      <c r="D200" s="29"/>
      <c r="E200" s="29"/>
      <c r="F200" s="29"/>
    </row>
    <row r="201" customFormat="false" ht="15" hidden="false" customHeight="false" outlineLevel="0" collapsed="false">
      <c r="A201" s="42"/>
      <c r="B201" s="29"/>
      <c r="C201" s="29"/>
      <c r="D201" s="29"/>
      <c r="E201" s="29"/>
      <c r="F201" s="29"/>
    </row>
    <row r="202" customFormat="false" ht="15" hidden="false" customHeight="false" outlineLevel="0" collapsed="false">
      <c r="A202" s="42"/>
      <c r="B202" s="29"/>
      <c r="C202" s="29"/>
      <c r="D202" s="29"/>
      <c r="E202" s="29"/>
      <c r="F202" s="29"/>
    </row>
    <row r="203" customFormat="false" ht="15" hidden="false" customHeight="false" outlineLevel="0" collapsed="false">
      <c r="A203" s="42"/>
      <c r="B203" s="29"/>
      <c r="C203" s="29"/>
      <c r="D203" s="29"/>
      <c r="E203" s="29"/>
      <c r="F203" s="29"/>
    </row>
    <row r="204" customFormat="false" ht="15" hidden="false" customHeight="false" outlineLevel="0" collapsed="false">
      <c r="A204" s="42"/>
      <c r="B204" s="29"/>
      <c r="C204" s="29"/>
      <c r="D204" s="29"/>
      <c r="E204" s="29"/>
      <c r="F204" s="29"/>
    </row>
    <row r="205" customFormat="false" ht="15" hidden="false" customHeight="false" outlineLevel="0" collapsed="false">
      <c r="A205" s="42"/>
      <c r="B205" s="29"/>
      <c r="C205" s="29"/>
      <c r="D205" s="29"/>
      <c r="E205" s="29"/>
      <c r="F205" s="29"/>
    </row>
    <row r="206" customFormat="false" ht="15" hidden="false" customHeight="false" outlineLevel="0" collapsed="false">
      <c r="A206" s="42"/>
      <c r="B206" s="29"/>
      <c r="C206" s="29"/>
      <c r="D206" s="29"/>
      <c r="E206" s="29"/>
      <c r="F206" s="29"/>
    </row>
    <row r="207" customFormat="false" ht="15" hidden="false" customHeight="false" outlineLevel="0" collapsed="false">
      <c r="A207" s="42"/>
      <c r="B207" s="29"/>
      <c r="C207" s="29"/>
      <c r="D207" s="29"/>
      <c r="E207" s="29"/>
      <c r="F207" s="29"/>
    </row>
    <row r="208" customFormat="false" ht="15" hidden="false" customHeight="false" outlineLevel="0" collapsed="false">
      <c r="A208" s="42"/>
      <c r="B208" s="29"/>
      <c r="C208" s="29"/>
      <c r="D208" s="29"/>
      <c r="E208" s="29"/>
      <c r="F208" s="29"/>
    </row>
    <row r="209" customFormat="false" ht="15" hidden="false" customHeight="false" outlineLevel="0" collapsed="false">
      <c r="A209" s="42"/>
      <c r="B209" s="29"/>
      <c r="C209" s="29"/>
      <c r="D209" s="29"/>
      <c r="E209" s="29"/>
      <c r="F209" s="29"/>
    </row>
    <row r="210" customFormat="false" ht="15" hidden="false" customHeight="false" outlineLevel="0" collapsed="false">
      <c r="A210" s="42"/>
      <c r="B210" s="29"/>
      <c r="C210" s="29"/>
      <c r="D210" s="29"/>
      <c r="E210" s="29"/>
      <c r="F210" s="29"/>
    </row>
    <row r="211" customFormat="false" ht="15" hidden="false" customHeight="false" outlineLevel="0" collapsed="false">
      <c r="A211" s="42"/>
      <c r="B211" s="29"/>
      <c r="C211" s="29"/>
      <c r="D211" s="29"/>
      <c r="E211" s="29"/>
      <c r="F211" s="29"/>
    </row>
    <row r="212" customFormat="false" ht="15" hidden="false" customHeight="false" outlineLevel="0" collapsed="false">
      <c r="A212" s="42"/>
      <c r="B212" s="29"/>
      <c r="C212" s="29"/>
      <c r="D212" s="29"/>
      <c r="E212" s="29"/>
      <c r="F212" s="29"/>
    </row>
    <row r="213" customFormat="false" ht="15" hidden="false" customHeight="false" outlineLevel="0" collapsed="false">
      <c r="A213" s="42"/>
      <c r="B213" s="29"/>
      <c r="C213" s="29"/>
      <c r="D213" s="29"/>
      <c r="E213" s="29"/>
      <c r="F213" s="29"/>
    </row>
    <row r="214" customFormat="false" ht="15" hidden="false" customHeight="false" outlineLevel="0" collapsed="false">
      <c r="A214" s="42"/>
      <c r="B214" s="29"/>
      <c r="C214" s="29"/>
      <c r="D214" s="29"/>
      <c r="E214" s="29"/>
      <c r="F214" s="29"/>
    </row>
    <row r="215" customFormat="false" ht="15" hidden="false" customHeight="false" outlineLevel="0" collapsed="false">
      <c r="A215" s="42"/>
      <c r="B215" s="29"/>
      <c r="C215" s="29"/>
      <c r="D215" s="29"/>
      <c r="E215" s="29"/>
      <c r="F215" s="29"/>
    </row>
    <row r="216" customFormat="false" ht="15" hidden="false" customHeight="false" outlineLevel="0" collapsed="false">
      <c r="A216" s="42"/>
      <c r="B216" s="29"/>
      <c r="C216" s="29"/>
      <c r="D216" s="29"/>
      <c r="E216" s="29"/>
      <c r="F216" s="29"/>
    </row>
    <row r="217" customFormat="false" ht="15" hidden="false" customHeight="false" outlineLevel="0" collapsed="false">
      <c r="A217" s="42"/>
      <c r="B217" s="29"/>
      <c r="C217" s="29"/>
      <c r="D217" s="29"/>
      <c r="E217" s="29"/>
      <c r="F217" s="29"/>
    </row>
    <row r="218" customFormat="false" ht="15" hidden="false" customHeight="false" outlineLevel="0" collapsed="false">
      <c r="A218" s="42"/>
      <c r="B218" s="29"/>
      <c r="C218" s="29"/>
      <c r="D218" s="29"/>
      <c r="E218" s="29"/>
      <c r="F218" s="29"/>
    </row>
    <row r="219" customFormat="false" ht="15" hidden="false" customHeight="false" outlineLevel="0" collapsed="false">
      <c r="A219" s="42"/>
      <c r="B219" s="29"/>
      <c r="C219" s="29"/>
      <c r="D219" s="29"/>
      <c r="E219" s="29"/>
      <c r="F219" s="29"/>
    </row>
    <row r="220" customFormat="false" ht="15" hidden="false" customHeight="false" outlineLevel="0" collapsed="false">
      <c r="A220" s="42"/>
      <c r="B220" s="29"/>
      <c r="C220" s="29"/>
      <c r="D220" s="29"/>
      <c r="E220" s="29"/>
      <c r="F220" s="29"/>
    </row>
    <row r="221" customFormat="false" ht="15" hidden="false" customHeight="false" outlineLevel="0" collapsed="false">
      <c r="A221" s="42"/>
      <c r="B221" s="29"/>
      <c r="C221" s="29"/>
      <c r="D221" s="29"/>
      <c r="E221" s="29"/>
      <c r="F221" s="29"/>
    </row>
    <row r="222" customFormat="false" ht="15" hidden="false" customHeight="false" outlineLevel="0" collapsed="false">
      <c r="A222" s="42"/>
      <c r="B222" s="29"/>
      <c r="C222" s="29"/>
      <c r="D222" s="29"/>
      <c r="E222" s="29"/>
      <c r="F222" s="29"/>
    </row>
    <row r="223" customFormat="false" ht="15" hidden="false" customHeight="false" outlineLevel="0" collapsed="false">
      <c r="A223" s="42"/>
      <c r="B223" s="29"/>
      <c r="C223" s="29"/>
      <c r="D223" s="29"/>
      <c r="E223" s="29"/>
      <c r="F223" s="29"/>
    </row>
    <row r="224" customFormat="false" ht="15" hidden="false" customHeight="false" outlineLevel="0" collapsed="false">
      <c r="A224" s="42"/>
      <c r="B224" s="29"/>
      <c r="C224" s="29"/>
      <c r="D224" s="29"/>
      <c r="E224" s="29"/>
      <c r="F224" s="29"/>
    </row>
    <row r="225" customFormat="false" ht="15" hidden="false" customHeight="false" outlineLevel="0" collapsed="false">
      <c r="A225" s="42"/>
      <c r="B225" s="29"/>
      <c r="C225" s="29"/>
      <c r="D225" s="29"/>
      <c r="E225" s="29"/>
      <c r="F225" s="29"/>
    </row>
    <row r="226" customFormat="false" ht="15" hidden="false" customHeight="false" outlineLevel="0" collapsed="false">
      <c r="A226" s="42"/>
      <c r="B226" s="29"/>
      <c r="C226" s="29"/>
      <c r="D226" s="29"/>
      <c r="E226" s="29"/>
      <c r="F226" s="29"/>
    </row>
    <row r="227" customFormat="false" ht="15" hidden="false" customHeight="false" outlineLevel="0" collapsed="false">
      <c r="A227" s="42"/>
      <c r="B227" s="29"/>
      <c r="C227" s="29"/>
      <c r="D227" s="29"/>
      <c r="E227" s="29"/>
      <c r="F227" s="29"/>
    </row>
    <row r="228" customFormat="false" ht="15" hidden="false" customHeight="false" outlineLevel="0" collapsed="false">
      <c r="A228" s="42"/>
      <c r="B228" s="29"/>
      <c r="C228" s="29"/>
      <c r="D228" s="29"/>
      <c r="E228" s="29"/>
      <c r="F228" s="29"/>
    </row>
    <row r="229" customFormat="false" ht="15" hidden="false" customHeight="false" outlineLevel="0" collapsed="false">
      <c r="A229" s="42"/>
      <c r="B229" s="29"/>
      <c r="C229" s="29"/>
      <c r="D229" s="29"/>
      <c r="E229" s="29"/>
      <c r="F229" s="29"/>
    </row>
    <row r="230" customFormat="false" ht="15" hidden="false" customHeight="false" outlineLevel="0" collapsed="false">
      <c r="A230" s="42"/>
      <c r="B230" s="29"/>
      <c r="C230" s="29"/>
      <c r="D230" s="29"/>
      <c r="E230" s="29"/>
      <c r="F230" s="29"/>
    </row>
    <row r="231" customFormat="false" ht="15" hidden="false" customHeight="false" outlineLevel="0" collapsed="false">
      <c r="A231" s="42"/>
      <c r="B231" s="29"/>
      <c r="C231" s="29"/>
      <c r="D231" s="29"/>
      <c r="E231" s="29"/>
      <c r="F231" s="29"/>
    </row>
    <row r="232" customFormat="false" ht="15" hidden="false" customHeight="false" outlineLevel="0" collapsed="false">
      <c r="A232" s="42"/>
      <c r="B232" s="29"/>
      <c r="C232" s="29"/>
      <c r="D232" s="29"/>
      <c r="E232" s="29"/>
      <c r="F232" s="29"/>
    </row>
    <row r="233" customFormat="false" ht="15" hidden="false" customHeight="false" outlineLevel="0" collapsed="false">
      <c r="A233" s="42"/>
      <c r="B233" s="29"/>
      <c r="C233" s="29"/>
      <c r="D233" s="29"/>
      <c r="E233" s="29"/>
      <c r="F233" s="29"/>
    </row>
    <row r="234" customFormat="false" ht="15" hidden="false" customHeight="false" outlineLevel="0" collapsed="false">
      <c r="A234" s="42"/>
      <c r="B234" s="29"/>
      <c r="C234" s="29"/>
      <c r="D234" s="29"/>
      <c r="E234" s="29"/>
      <c r="F234" s="29"/>
    </row>
    <row r="235" customFormat="false" ht="15" hidden="false" customHeight="false" outlineLevel="0" collapsed="false">
      <c r="A235" s="42"/>
      <c r="B235" s="29"/>
      <c r="C235" s="29"/>
      <c r="D235" s="29"/>
      <c r="E235" s="29"/>
      <c r="F235" s="29"/>
    </row>
    <row r="236" customFormat="false" ht="15" hidden="false" customHeight="false" outlineLevel="0" collapsed="false">
      <c r="A236" s="42"/>
      <c r="B236" s="29"/>
      <c r="C236" s="29"/>
      <c r="D236" s="29"/>
      <c r="E236" s="29"/>
      <c r="F236" s="29"/>
    </row>
    <row r="237" customFormat="false" ht="15" hidden="false" customHeight="false" outlineLevel="0" collapsed="false">
      <c r="A237" s="42"/>
      <c r="B237" s="29"/>
      <c r="C237" s="29"/>
      <c r="D237" s="29"/>
      <c r="E237" s="29"/>
      <c r="F237" s="29"/>
    </row>
    <row r="238" customFormat="false" ht="15" hidden="false" customHeight="false" outlineLevel="0" collapsed="false">
      <c r="A238" s="42"/>
      <c r="B238" s="29"/>
      <c r="C238" s="29"/>
      <c r="D238" s="29"/>
      <c r="E238" s="29"/>
      <c r="F238" s="29"/>
    </row>
    <row r="239" customFormat="false" ht="15" hidden="false" customHeight="false" outlineLevel="0" collapsed="false">
      <c r="A239" s="42"/>
      <c r="B239" s="29"/>
      <c r="C239" s="29"/>
      <c r="D239" s="29"/>
      <c r="E239" s="29"/>
      <c r="F239" s="29"/>
    </row>
    <row r="240" customFormat="false" ht="15" hidden="false" customHeight="false" outlineLevel="0" collapsed="false">
      <c r="A240" s="42"/>
      <c r="B240" s="29"/>
      <c r="C240" s="29"/>
      <c r="D240" s="29"/>
      <c r="E240" s="29"/>
      <c r="F240" s="29"/>
    </row>
    <row r="241" customFormat="false" ht="15" hidden="false" customHeight="false" outlineLevel="0" collapsed="false">
      <c r="A241" s="42"/>
      <c r="B241" s="29"/>
      <c r="C241" s="29"/>
      <c r="D241" s="29"/>
      <c r="E241" s="29"/>
      <c r="F241" s="29"/>
    </row>
    <row r="242" customFormat="false" ht="15" hidden="false" customHeight="false" outlineLevel="0" collapsed="false">
      <c r="A242" s="42"/>
      <c r="B242" s="29"/>
      <c r="C242" s="29"/>
      <c r="D242" s="29"/>
      <c r="E242" s="29"/>
      <c r="F242" s="29"/>
    </row>
    <row r="243" customFormat="false" ht="15" hidden="false" customHeight="false" outlineLevel="0" collapsed="false">
      <c r="A243" s="42"/>
      <c r="B243" s="29"/>
      <c r="C243" s="29"/>
      <c r="D243" s="29"/>
      <c r="E243" s="29"/>
      <c r="F243" s="29"/>
    </row>
    <row r="244" customFormat="false" ht="15" hidden="false" customHeight="false" outlineLevel="0" collapsed="false">
      <c r="A244" s="42"/>
      <c r="B244" s="29"/>
      <c r="C244" s="29"/>
      <c r="D244" s="29"/>
      <c r="E244" s="29"/>
      <c r="F244" s="29"/>
    </row>
    <row r="245" customFormat="false" ht="15" hidden="false" customHeight="false" outlineLevel="0" collapsed="false">
      <c r="A245" s="42"/>
      <c r="B245" s="29"/>
      <c r="C245" s="29"/>
      <c r="D245" s="29"/>
      <c r="E245" s="29"/>
      <c r="F245" s="29"/>
    </row>
    <row r="246" customFormat="false" ht="15" hidden="false" customHeight="false" outlineLevel="0" collapsed="false">
      <c r="A246" s="42"/>
      <c r="B246" s="29"/>
      <c r="C246" s="29"/>
      <c r="D246" s="29"/>
      <c r="E246" s="29"/>
      <c r="F246" s="29"/>
    </row>
    <row r="247" customFormat="false" ht="15" hidden="false" customHeight="false" outlineLevel="0" collapsed="false">
      <c r="A247" s="42"/>
      <c r="B247" s="29"/>
      <c r="C247" s="29"/>
      <c r="D247" s="29"/>
      <c r="E247" s="29"/>
      <c r="F247" s="29"/>
    </row>
    <row r="248" customFormat="false" ht="15" hidden="false" customHeight="false" outlineLevel="0" collapsed="false">
      <c r="A248" s="42"/>
      <c r="B248" s="29"/>
      <c r="C248" s="29"/>
      <c r="D248" s="29"/>
      <c r="E248" s="29"/>
      <c r="F248" s="29"/>
    </row>
    <row r="249" customFormat="false" ht="15" hidden="false" customHeight="false" outlineLevel="0" collapsed="false">
      <c r="A249" s="42"/>
      <c r="B249" s="29"/>
      <c r="C249" s="29"/>
      <c r="D249" s="29"/>
      <c r="E249" s="29"/>
      <c r="F249" s="29"/>
    </row>
    <row r="250" customFormat="false" ht="15" hidden="false" customHeight="false" outlineLevel="0" collapsed="false">
      <c r="A250" s="42"/>
      <c r="B250" s="29"/>
      <c r="C250" s="29"/>
      <c r="D250" s="29"/>
      <c r="E250" s="29"/>
      <c r="F250" s="29"/>
    </row>
    <row r="251" customFormat="false" ht="15" hidden="false" customHeight="false" outlineLevel="0" collapsed="false">
      <c r="A251" s="42"/>
      <c r="B251" s="29"/>
      <c r="C251" s="29"/>
      <c r="D251" s="29"/>
      <c r="E251" s="29"/>
      <c r="F251" s="29"/>
    </row>
    <row r="252" customFormat="false" ht="15" hidden="false" customHeight="false" outlineLevel="0" collapsed="false">
      <c r="A252" s="42"/>
      <c r="B252" s="29"/>
      <c r="C252" s="29"/>
      <c r="D252" s="29"/>
      <c r="E252" s="29"/>
      <c r="F252" s="29"/>
    </row>
    <row r="253" customFormat="false" ht="15" hidden="false" customHeight="false" outlineLevel="0" collapsed="false">
      <c r="A253" s="42"/>
      <c r="B253" s="29"/>
      <c r="C253" s="29"/>
      <c r="D253" s="29"/>
      <c r="E253" s="29"/>
      <c r="F253" s="29"/>
    </row>
    <row r="254" customFormat="false" ht="15" hidden="false" customHeight="false" outlineLevel="0" collapsed="false">
      <c r="A254" s="42"/>
      <c r="B254" s="29"/>
      <c r="C254" s="29"/>
      <c r="D254" s="29"/>
      <c r="E254" s="29"/>
      <c r="F254" s="29"/>
    </row>
    <row r="255" customFormat="false" ht="15" hidden="false" customHeight="false" outlineLevel="0" collapsed="false">
      <c r="A255" s="42"/>
      <c r="B255" s="29"/>
      <c r="C255" s="29"/>
      <c r="D255" s="29"/>
      <c r="E255" s="29"/>
      <c r="F255" s="29"/>
    </row>
    <row r="256" customFormat="false" ht="15" hidden="false" customHeight="false" outlineLevel="0" collapsed="false">
      <c r="A256" s="42"/>
      <c r="B256" s="29"/>
      <c r="C256" s="29"/>
      <c r="D256" s="29"/>
      <c r="E256" s="29"/>
      <c r="F256" s="29"/>
    </row>
    <row r="257" customFormat="false" ht="15" hidden="false" customHeight="false" outlineLevel="0" collapsed="false">
      <c r="A257" s="42"/>
      <c r="B257" s="29"/>
      <c r="C257" s="29"/>
      <c r="D257" s="29"/>
      <c r="E257" s="29"/>
      <c r="F257" s="29"/>
    </row>
    <row r="258" customFormat="false" ht="15" hidden="false" customHeight="false" outlineLevel="0" collapsed="false">
      <c r="A258" s="42"/>
      <c r="B258" s="29"/>
      <c r="C258" s="29"/>
      <c r="D258" s="29"/>
      <c r="E258" s="29"/>
      <c r="F258" s="29"/>
    </row>
    <row r="259" customFormat="false" ht="15" hidden="false" customHeight="false" outlineLevel="0" collapsed="false">
      <c r="A259" s="42"/>
      <c r="B259" s="29"/>
      <c r="C259" s="29"/>
      <c r="D259" s="29"/>
      <c r="E259" s="29"/>
      <c r="F259" s="29"/>
    </row>
    <row r="260" customFormat="false" ht="15" hidden="false" customHeight="false" outlineLevel="0" collapsed="false">
      <c r="A260" s="42"/>
      <c r="B260" s="29"/>
      <c r="C260" s="29"/>
      <c r="D260" s="29"/>
      <c r="E260" s="29"/>
      <c r="F260" s="29"/>
    </row>
    <row r="261" customFormat="false" ht="15" hidden="false" customHeight="false" outlineLevel="0" collapsed="false">
      <c r="A261" s="42"/>
      <c r="B261" s="29"/>
      <c r="C261" s="29"/>
      <c r="D261" s="29"/>
      <c r="E261" s="29"/>
      <c r="F261" s="29"/>
    </row>
    <row r="262" customFormat="false" ht="15" hidden="false" customHeight="false" outlineLevel="0" collapsed="false">
      <c r="A262" s="42"/>
      <c r="B262" s="29"/>
      <c r="C262" s="29"/>
      <c r="D262" s="29"/>
      <c r="E262" s="29"/>
      <c r="F262" s="29"/>
    </row>
    <row r="263" customFormat="false" ht="15" hidden="false" customHeight="false" outlineLevel="0" collapsed="false">
      <c r="A263" s="42"/>
      <c r="B263" s="29"/>
      <c r="C263" s="29"/>
      <c r="D263" s="29"/>
      <c r="E263" s="29"/>
      <c r="F263" s="29"/>
    </row>
    <row r="264" customFormat="false" ht="15" hidden="false" customHeight="false" outlineLevel="0" collapsed="false">
      <c r="A264" s="42"/>
      <c r="B264" s="29"/>
      <c r="C264" s="29"/>
      <c r="D264" s="29"/>
      <c r="E264" s="29"/>
      <c r="F264" s="29"/>
    </row>
    <row r="265" customFormat="false" ht="15" hidden="false" customHeight="false" outlineLevel="0" collapsed="false">
      <c r="A265" s="42"/>
      <c r="B265" s="29"/>
      <c r="C265" s="29"/>
      <c r="D265" s="29"/>
      <c r="E265" s="29"/>
      <c r="F265" s="29"/>
    </row>
    <row r="266" customFormat="false" ht="15" hidden="false" customHeight="false" outlineLevel="0" collapsed="false">
      <c r="A266" s="42"/>
      <c r="B266" s="29"/>
      <c r="C266" s="29"/>
      <c r="D266" s="29"/>
      <c r="E266" s="29"/>
      <c r="F266" s="29"/>
    </row>
    <row r="267" customFormat="false" ht="15" hidden="false" customHeight="false" outlineLevel="0" collapsed="false">
      <c r="A267" s="42"/>
      <c r="B267" s="29"/>
      <c r="C267" s="29"/>
      <c r="D267" s="29"/>
      <c r="E267" s="29"/>
      <c r="F267" s="29"/>
    </row>
    <row r="268" customFormat="false" ht="15" hidden="false" customHeight="false" outlineLevel="0" collapsed="false">
      <c r="A268" s="42"/>
      <c r="B268" s="29"/>
      <c r="C268" s="29"/>
      <c r="D268" s="29"/>
      <c r="E268" s="29"/>
      <c r="F268" s="29"/>
    </row>
    <row r="269" customFormat="false" ht="15" hidden="false" customHeight="false" outlineLevel="0" collapsed="false">
      <c r="A269" s="42"/>
      <c r="B269" s="29"/>
      <c r="C269" s="29"/>
      <c r="D269" s="29"/>
      <c r="E269" s="29"/>
      <c r="F269" s="29"/>
    </row>
    <row r="270" customFormat="false" ht="15" hidden="false" customHeight="false" outlineLevel="0" collapsed="false">
      <c r="A270" s="42"/>
      <c r="B270" s="29"/>
      <c r="C270" s="29"/>
      <c r="D270" s="29"/>
      <c r="E270" s="29"/>
      <c r="F270" s="29"/>
    </row>
    <row r="271" customFormat="false" ht="15" hidden="false" customHeight="false" outlineLevel="0" collapsed="false">
      <c r="A271" s="42"/>
      <c r="B271" s="29"/>
      <c r="C271" s="29"/>
      <c r="D271" s="29"/>
      <c r="E271" s="29"/>
      <c r="F271" s="29"/>
    </row>
    <row r="272" customFormat="false" ht="15" hidden="false" customHeight="false" outlineLevel="0" collapsed="false">
      <c r="A272" s="42"/>
      <c r="B272" s="29"/>
      <c r="C272" s="29"/>
      <c r="D272" s="29"/>
      <c r="E272" s="29"/>
      <c r="F272" s="29"/>
    </row>
    <row r="273" customFormat="false" ht="15" hidden="false" customHeight="false" outlineLevel="0" collapsed="false">
      <c r="A273" s="42"/>
      <c r="B273" s="29"/>
      <c r="C273" s="29"/>
      <c r="D273" s="29"/>
      <c r="E273" s="29"/>
      <c r="F273" s="29"/>
    </row>
    <row r="274" customFormat="false" ht="15" hidden="false" customHeight="false" outlineLevel="0" collapsed="false">
      <c r="A274" s="42"/>
      <c r="B274" s="29"/>
      <c r="C274" s="29"/>
      <c r="D274" s="29"/>
      <c r="E274" s="29"/>
      <c r="F274" s="29"/>
    </row>
    <row r="275" customFormat="false" ht="15" hidden="false" customHeight="false" outlineLevel="0" collapsed="false">
      <c r="A275" s="42"/>
      <c r="B275" s="29"/>
      <c r="C275" s="29"/>
      <c r="D275" s="29"/>
      <c r="E275" s="29"/>
      <c r="F275" s="29"/>
    </row>
    <row r="276" customFormat="false" ht="15" hidden="false" customHeight="false" outlineLevel="0" collapsed="false">
      <c r="A276" s="42"/>
      <c r="B276" s="29"/>
      <c r="C276" s="29"/>
      <c r="D276" s="29"/>
      <c r="E276" s="29"/>
      <c r="F276" s="29"/>
    </row>
    <row r="277" customFormat="false" ht="15" hidden="false" customHeight="false" outlineLevel="0" collapsed="false">
      <c r="A277" s="42"/>
      <c r="B277" s="29"/>
      <c r="C277" s="29"/>
      <c r="D277" s="29"/>
      <c r="E277" s="29"/>
      <c r="F277" s="29"/>
    </row>
    <row r="278" customFormat="false" ht="15" hidden="false" customHeight="false" outlineLevel="0" collapsed="false">
      <c r="A278" s="42"/>
      <c r="B278" s="29"/>
      <c r="C278" s="29"/>
      <c r="D278" s="29"/>
      <c r="E278" s="29"/>
      <c r="F278" s="29"/>
    </row>
    <row r="279" customFormat="false" ht="15" hidden="false" customHeight="false" outlineLevel="0" collapsed="false">
      <c r="A279" s="42"/>
      <c r="B279" s="29"/>
      <c r="C279" s="29"/>
      <c r="D279" s="29"/>
      <c r="E279" s="29"/>
      <c r="F279" s="29"/>
    </row>
    <row r="280" customFormat="false" ht="15" hidden="false" customHeight="false" outlineLevel="0" collapsed="false">
      <c r="A280" s="42"/>
      <c r="B280" s="29"/>
      <c r="C280" s="29"/>
      <c r="D280" s="29"/>
      <c r="E280" s="29"/>
      <c r="F280" s="29"/>
    </row>
    <row r="281" customFormat="false" ht="15" hidden="false" customHeight="false" outlineLevel="0" collapsed="false">
      <c r="A281" s="42"/>
      <c r="B281" s="29"/>
      <c r="C281" s="29"/>
      <c r="D281" s="29"/>
      <c r="E281" s="29"/>
      <c r="F281" s="29"/>
    </row>
    <row r="282" customFormat="false" ht="15" hidden="false" customHeight="false" outlineLevel="0" collapsed="false">
      <c r="A282" s="42"/>
      <c r="B282" s="29"/>
      <c r="C282" s="29"/>
      <c r="D282" s="29"/>
      <c r="E282" s="29"/>
      <c r="F282" s="29"/>
    </row>
    <row r="283" customFormat="false" ht="15" hidden="false" customHeight="false" outlineLevel="0" collapsed="false">
      <c r="A283" s="42"/>
      <c r="B283" s="29"/>
      <c r="C283" s="29"/>
      <c r="D283" s="29"/>
      <c r="E283" s="29"/>
      <c r="F283" s="29"/>
    </row>
    <row r="284" customFormat="false" ht="15" hidden="false" customHeight="false" outlineLevel="0" collapsed="false">
      <c r="A284" s="42"/>
      <c r="B284" s="29"/>
      <c r="C284" s="29"/>
      <c r="D284" s="29"/>
      <c r="E284" s="29"/>
      <c r="F284" s="29"/>
    </row>
    <row r="285" customFormat="false" ht="15" hidden="false" customHeight="false" outlineLevel="0" collapsed="false">
      <c r="A285" s="42"/>
      <c r="B285" s="29"/>
      <c r="C285" s="29"/>
      <c r="D285" s="29"/>
      <c r="E285" s="29"/>
      <c r="F285" s="29"/>
    </row>
    <row r="286" customFormat="false" ht="15" hidden="false" customHeight="false" outlineLevel="0" collapsed="false">
      <c r="A286" s="42"/>
      <c r="B286" s="29"/>
      <c r="C286" s="29"/>
      <c r="D286" s="29"/>
      <c r="E286" s="29"/>
      <c r="F286" s="29"/>
    </row>
    <row r="287" customFormat="false" ht="15" hidden="false" customHeight="false" outlineLevel="0" collapsed="false">
      <c r="A287" s="42"/>
      <c r="B287" s="29"/>
      <c r="C287" s="29"/>
      <c r="D287" s="29"/>
      <c r="E287" s="29"/>
      <c r="F287" s="29"/>
    </row>
    <row r="288" customFormat="false" ht="15" hidden="false" customHeight="false" outlineLevel="0" collapsed="false">
      <c r="A288" s="42"/>
      <c r="B288" s="29"/>
      <c r="C288" s="29"/>
      <c r="D288" s="29"/>
      <c r="E288" s="29"/>
      <c r="F288" s="29"/>
    </row>
    <row r="289" customFormat="false" ht="15" hidden="false" customHeight="false" outlineLevel="0" collapsed="false">
      <c r="A289" s="42"/>
      <c r="B289" s="29"/>
      <c r="C289" s="29"/>
      <c r="D289" s="29"/>
      <c r="E289" s="29"/>
      <c r="F289" s="29"/>
    </row>
    <row r="290" customFormat="false" ht="15" hidden="false" customHeight="false" outlineLevel="0" collapsed="false">
      <c r="A290" s="42"/>
      <c r="B290" s="29"/>
      <c r="C290" s="29"/>
      <c r="D290" s="29"/>
      <c r="E290" s="29"/>
      <c r="F290" s="29"/>
    </row>
    <row r="291" customFormat="false" ht="15" hidden="false" customHeight="false" outlineLevel="0" collapsed="false">
      <c r="A291" s="42"/>
      <c r="B291" s="29"/>
      <c r="C291" s="29"/>
      <c r="D291" s="29"/>
      <c r="E291" s="29"/>
      <c r="F291" s="29"/>
    </row>
    <row r="292" customFormat="false" ht="15" hidden="false" customHeight="false" outlineLevel="0" collapsed="false">
      <c r="A292" s="42"/>
      <c r="B292" s="29"/>
      <c r="C292" s="29"/>
      <c r="D292" s="29"/>
      <c r="E292" s="29"/>
      <c r="F292" s="29"/>
    </row>
    <row r="293" customFormat="false" ht="15" hidden="false" customHeight="false" outlineLevel="0" collapsed="false">
      <c r="A293" s="42"/>
      <c r="B293" s="29"/>
      <c r="C293" s="29"/>
      <c r="D293" s="29"/>
      <c r="E293" s="29"/>
      <c r="F293" s="29"/>
    </row>
    <row r="294" customFormat="false" ht="15" hidden="false" customHeight="false" outlineLevel="0" collapsed="false">
      <c r="A294" s="42"/>
      <c r="B294" s="29"/>
      <c r="C294" s="29"/>
      <c r="D294" s="29"/>
      <c r="E294" s="29"/>
      <c r="F294" s="29"/>
    </row>
    <row r="295" customFormat="false" ht="15" hidden="false" customHeight="false" outlineLevel="0" collapsed="false">
      <c r="A295" s="42"/>
      <c r="B295" s="29"/>
      <c r="C295" s="29"/>
      <c r="D295" s="29"/>
      <c r="E295" s="29"/>
      <c r="F295" s="29"/>
    </row>
    <row r="296" customFormat="false" ht="15" hidden="false" customHeight="false" outlineLevel="0" collapsed="false">
      <c r="A296" s="42"/>
      <c r="B296" s="29"/>
      <c r="C296" s="29"/>
      <c r="D296" s="29"/>
      <c r="E296" s="29"/>
      <c r="F296" s="29"/>
    </row>
    <row r="297" customFormat="false" ht="15" hidden="false" customHeight="false" outlineLevel="0" collapsed="false">
      <c r="A297" s="42"/>
      <c r="B297" s="29"/>
      <c r="C297" s="29"/>
      <c r="D297" s="29"/>
      <c r="E297" s="29"/>
      <c r="F297" s="29"/>
    </row>
    <row r="298" customFormat="false" ht="15" hidden="false" customHeight="false" outlineLevel="0" collapsed="false">
      <c r="A298" s="42"/>
      <c r="B298" s="29"/>
      <c r="C298" s="29"/>
      <c r="D298" s="29"/>
      <c r="E298" s="29"/>
      <c r="F298" s="29"/>
    </row>
    <row r="299" customFormat="false" ht="15" hidden="false" customHeight="false" outlineLevel="0" collapsed="false">
      <c r="A299" s="42"/>
      <c r="B299" s="29"/>
      <c r="C299" s="29"/>
      <c r="D299" s="29"/>
      <c r="E299" s="29"/>
      <c r="F299" s="29"/>
    </row>
    <row r="300" customFormat="false" ht="15" hidden="false" customHeight="false" outlineLevel="0" collapsed="false">
      <c r="A300" s="42"/>
      <c r="B300" s="29"/>
      <c r="C300" s="29"/>
      <c r="D300" s="29"/>
      <c r="E300" s="29"/>
      <c r="F300" s="29"/>
    </row>
    <row r="301" customFormat="false" ht="15" hidden="false" customHeight="false" outlineLevel="0" collapsed="false">
      <c r="A301" s="42"/>
      <c r="B301" s="29"/>
      <c r="C301" s="29"/>
      <c r="D301" s="29"/>
      <c r="E301" s="29"/>
      <c r="F301" s="29"/>
    </row>
    <row r="302" customFormat="false" ht="15" hidden="false" customHeight="false" outlineLevel="0" collapsed="false">
      <c r="A302" s="42"/>
      <c r="B302" s="29"/>
      <c r="C302" s="29"/>
      <c r="D302" s="29"/>
      <c r="E302" s="29"/>
      <c r="F302" s="29"/>
    </row>
    <row r="303" customFormat="false" ht="15" hidden="false" customHeight="false" outlineLevel="0" collapsed="false">
      <c r="A303" s="42"/>
      <c r="B303" s="29"/>
      <c r="C303" s="29"/>
      <c r="D303" s="29"/>
      <c r="E303" s="29"/>
      <c r="F303" s="29"/>
    </row>
    <row r="304" customFormat="false" ht="15" hidden="false" customHeight="false" outlineLevel="0" collapsed="false">
      <c r="A304" s="42"/>
      <c r="B304" s="29"/>
      <c r="C304" s="29"/>
      <c r="D304" s="29"/>
      <c r="E304" s="29"/>
      <c r="F304" s="29"/>
    </row>
    <row r="305" customFormat="false" ht="15" hidden="false" customHeight="false" outlineLevel="0" collapsed="false">
      <c r="A305" s="42"/>
      <c r="B305" s="29"/>
      <c r="C305" s="29"/>
      <c r="D305" s="29"/>
      <c r="E305" s="29"/>
      <c r="F305" s="29"/>
    </row>
    <row r="306" customFormat="false" ht="15" hidden="false" customHeight="false" outlineLevel="0" collapsed="false">
      <c r="A306" s="42"/>
      <c r="B306" s="29"/>
      <c r="C306" s="29"/>
      <c r="D306" s="29"/>
      <c r="E306" s="29"/>
      <c r="F306" s="29"/>
    </row>
    <row r="307" customFormat="false" ht="15" hidden="false" customHeight="false" outlineLevel="0" collapsed="false">
      <c r="A307" s="42"/>
      <c r="B307" s="29"/>
      <c r="C307" s="29"/>
      <c r="D307" s="29"/>
      <c r="E307" s="29"/>
      <c r="F307" s="29"/>
    </row>
    <row r="308" customFormat="false" ht="15" hidden="false" customHeight="false" outlineLevel="0" collapsed="false">
      <c r="A308" s="42"/>
      <c r="B308" s="29"/>
      <c r="C308" s="29"/>
      <c r="D308" s="29"/>
      <c r="E308" s="29"/>
      <c r="F308" s="29"/>
    </row>
    <row r="309" customFormat="false" ht="15" hidden="false" customHeight="false" outlineLevel="0" collapsed="false">
      <c r="A309" s="42"/>
      <c r="B309" s="29"/>
      <c r="C309" s="29"/>
      <c r="D309" s="29"/>
      <c r="E309" s="29"/>
      <c r="F309" s="29"/>
    </row>
    <row r="310" customFormat="false" ht="15" hidden="false" customHeight="false" outlineLevel="0" collapsed="false">
      <c r="A310" s="42"/>
      <c r="B310" s="29"/>
      <c r="C310" s="29"/>
      <c r="D310" s="29"/>
      <c r="E310" s="29"/>
      <c r="F310" s="29"/>
    </row>
    <row r="311" customFormat="false" ht="15" hidden="false" customHeight="false" outlineLevel="0" collapsed="false">
      <c r="A311" s="42"/>
      <c r="B311" s="29"/>
      <c r="C311" s="29"/>
      <c r="D311" s="29"/>
      <c r="E311" s="29"/>
      <c r="F311" s="29"/>
    </row>
    <row r="312" customFormat="false" ht="15" hidden="false" customHeight="false" outlineLevel="0" collapsed="false">
      <c r="A312" s="42"/>
      <c r="B312" s="29"/>
      <c r="C312" s="29"/>
      <c r="D312" s="29"/>
      <c r="E312" s="29"/>
      <c r="F312" s="29"/>
    </row>
    <row r="313" customFormat="false" ht="15" hidden="false" customHeight="false" outlineLevel="0" collapsed="false">
      <c r="A313" s="42"/>
      <c r="B313" s="29"/>
      <c r="C313" s="29"/>
      <c r="D313" s="29"/>
      <c r="E313" s="29"/>
      <c r="F313" s="29"/>
    </row>
    <row r="314" customFormat="false" ht="15" hidden="false" customHeight="false" outlineLevel="0" collapsed="false">
      <c r="A314" s="42"/>
      <c r="B314" s="29"/>
      <c r="C314" s="29"/>
      <c r="D314" s="29"/>
      <c r="E314" s="29"/>
      <c r="F314" s="29"/>
    </row>
    <row r="315" customFormat="false" ht="15" hidden="false" customHeight="false" outlineLevel="0" collapsed="false">
      <c r="A315" s="42"/>
      <c r="B315" s="29"/>
      <c r="C315" s="29"/>
      <c r="D315" s="29"/>
      <c r="E315" s="29"/>
      <c r="F315" s="29"/>
    </row>
    <row r="316" customFormat="false" ht="15" hidden="false" customHeight="false" outlineLevel="0" collapsed="false">
      <c r="A316" s="42"/>
      <c r="B316" s="29"/>
      <c r="C316" s="29"/>
      <c r="D316" s="29"/>
      <c r="E316" s="29"/>
      <c r="F316" s="29"/>
    </row>
    <row r="317" customFormat="false" ht="15" hidden="false" customHeight="false" outlineLevel="0" collapsed="false">
      <c r="A317" s="42"/>
      <c r="B317" s="29"/>
      <c r="C317" s="29"/>
      <c r="D317" s="29"/>
      <c r="E317" s="29"/>
      <c r="F317" s="29"/>
    </row>
    <row r="318" customFormat="false" ht="15" hidden="false" customHeight="false" outlineLevel="0" collapsed="false">
      <c r="A318" s="42"/>
      <c r="B318" s="29"/>
      <c r="C318" s="29"/>
      <c r="D318" s="29"/>
      <c r="E318" s="29"/>
      <c r="F318" s="29"/>
    </row>
    <row r="319" customFormat="false" ht="15" hidden="false" customHeight="false" outlineLevel="0" collapsed="false">
      <c r="A319" s="42"/>
      <c r="B319" s="29"/>
      <c r="C319" s="29"/>
      <c r="D319" s="29"/>
      <c r="E319" s="29"/>
      <c r="F319" s="29"/>
    </row>
    <row r="320" customFormat="false" ht="15" hidden="false" customHeight="false" outlineLevel="0" collapsed="false">
      <c r="A320" s="42"/>
      <c r="B320" s="29"/>
      <c r="C320" s="29"/>
      <c r="D320" s="29"/>
      <c r="E320" s="29"/>
      <c r="F320" s="29"/>
    </row>
    <row r="321" customFormat="false" ht="15" hidden="false" customHeight="false" outlineLevel="0" collapsed="false">
      <c r="A321" s="42"/>
      <c r="B321" s="29"/>
      <c r="C321" s="29"/>
      <c r="D321" s="29"/>
      <c r="E321" s="29"/>
      <c r="F321" s="29"/>
    </row>
    <row r="322" customFormat="false" ht="15" hidden="false" customHeight="false" outlineLevel="0" collapsed="false">
      <c r="A322" s="42"/>
      <c r="B322" s="29"/>
      <c r="C322" s="29"/>
      <c r="D322" s="29"/>
      <c r="E322" s="29"/>
      <c r="F322" s="29"/>
    </row>
    <row r="323" customFormat="false" ht="15" hidden="false" customHeight="false" outlineLevel="0" collapsed="false">
      <c r="A323" s="42"/>
      <c r="B323" s="29"/>
      <c r="C323" s="29"/>
      <c r="D323" s="29"/>
      <c r="E323" s="29"/>
      <c r="F323" s="29"/>
    </row>
    <row r="324" customFormat="false" ht="15" hidden="false" customHeight="false" outlineLevel="0" collapsed="false">
      <c r="A324" s="42"/>
      <c r="B324" s="29"/>
      <c r="C324" s="29"/>
      <c r="D324" s="29"/>
      <c r="E324" s="29"/>
      <c r="F324" s="29"/>
    </row>
    <row r="325" customFormat="false" ht="15" hidden="false" customHeight="false" outlineLevel="0" collapsed="false">
      <c r="A325" s="42"/>
      <c r="B325" s="29"/>
      <c r="C325" s="29"/>
      <c r="D325" s="29"/>
      <c r="E325" s="29"/>
      <c r="F325" s="29"/>
    </row>
    <row r="326" customFormat="false" ht="15" hidden="false" customHeight="false" outlineLevel="0" collapsed="false">
      <c r="A326" s="42"/>
      <c r="B326" s="29"/>
      <c r="C326" s="29"/>
      <c r="D326" s="29"/>
      <c r="E326" s="29"/>
      <c r="F326" s="29"/>
    </row>
    <row r="327" customFormat="false" ht="15" hidden="false" customHeight="false" outlineLevel="0" collapsed="false">
      <c r="A327" s="42"/>
      <c r="B327" s="29"/>
      <c r="C327" s="29"/>
      <c r="D327" s="29"/>
      <c r="E327" s="29"/>
      <c r="F327" s="29"/>
    </row>
    <row r="328" customFormat="false" ht="15" hidden="false" customHeight="false" outlineLevel="0" collapsed="false">
      <c r="A328" s="42"/>
      <c r="B328" s="29"/>
      <c r="C328" s="29"/>
      <c r="D328" s="29"/>
      <c r="E328" s="29"/>
      <c r="F328" s="29"/>
    </row>
    <row r="329" customFormat="false" ht="15" hidden="false" customHeight="false" outlineLevel="0" collapsed="false">
      <c r="A329" s="42"/>
      <c r="B329" s="29"/>
      <c r="C329" s="29"/>
      <c r="D329" s="29"/>
      <c r="E329" s="29"/>
      <c r="F329" s="29"/>
    </row>
    <row r="330" customFormat="false" ht="15" hidden="false" customHeight="false" outlineLevel="0" collapsed="false">
      <c r="A330" s="42"/>
      <c r="B330" s="29"/>
      <c r="C330" s="29"/>
      <c r="D330" s="29"/>
      <c r="E330" s="29"/>
      <c r="F330" s="29"/>
    </row>
    <row r="331" customFormat="false" ht="15" hidden="false" customHeight="false" outlineLevel="0" collapsed="false">
      <c r="A331" s="42"/>
      <c r="B331" s="29"/>
      <c r="C331" s="29"/>
      <c r="D331" s="29"/>
      <c r="E331" s="29"/>
      <c r="F331" s="29"/>
    </row>
    <row r="332" customFormat="false" ht="15" hidden="false" customHeight="false" outlineLevel="0" collapsed="false">
      <c r="A332" s="42"/>
      <c r="B332" s="29"/>
      <c r="C332" s="29"/>
      <c r="D332" s="29"/>
      <c r="E332" s="29"/>
      <c r="F332" s="29"/>
    </row>
    <row r="333" customFormat="false" ht="15" hidden="false" customHeight="false" outlineLevel="0" collapsed="false">
      <c r="A333" s="42"/>
      <c r="B333" s="29"/>
      <c r="C333" s="29"/>
      <c r="D333" s="29"/>
      <c r="E333" s="29"/>
      <c r="F333" s="29"/>
    </row>
    <row r="334" customFormat="false" ht="15" hidden="false" customHeight="false" outlineLevel="0" collapsed="false">
      <c r="A334" s="42"/>
      <c r="B334" s="29"/>
      <c r="C334" s="29"/>
      <c r="D334" s="29"/>
      <c r="E334" s="29"/>
      <c r="F334" s="29"/>
    </row>
    <row r="335" customFormat="false" ht="15" hidden="false" customHeight="false" outlineLevel="0" collapsed="false">
      <c r="A335" s="42"/>
      <c r="B335" s="29"/>
      <c r="C335" s="29"/>
      <c r="D335" s="29"/>
      <c r="E335" s="29"/>
      <c r="F335" s="29"/>
    </row>
    <row r="336" customFormat="false" ht="15" hidden="false" customHeight="false" outlineLevel="0" collapsed="false">
      <c r="A336" s="42"/>
      <c r="B336" s="29"/>
      <c r="C336" s="29"/>
      <c r="D336" s="29"/>
      <c r="E336" s="29"/>
      <c r="F336" s="29"/>
    </row>
    <row r="337" customFormat="false" ht="15" hidden="false" customHeight="false" outlineLevel="0" collapsed="false">
      <c r="A337" s="42"/>
      <c r="B337" s="29"/>
      <c r="C337" s="29"/>
      <c r="D337" s="29"/>
      <c r="E337" s="29"/>
      <c r="F337" s="29"/>
    </row>
    <row r="338" customFormat="false" ht="15" hidden="false" customHeight="false" outlineLevel="0" collapsed="false">
      <c r="A338" s="42"/>
      <c r="B338" s="29"/>
      <c r="C338" s="29"/>
      <c r="D338" s="29"/>
      <c r="E338" s="29"/>
      <c r="F338" s="29"/>
    </row>
    <row r="339" customFormat="false" ht="15" hidden="false" customHeight="false" outlineLevel="0" collapsed="false">
      <c r="A339" s="42"/>
      <c r="B339" s="29"/>
      <c r="C339" s="29"/>
      <c r="D339" s="29"/>
      <c r="E339" s="29"/>
      <c r="F339" s="29"/>
    </row>
    <row r="340" customFormat="false" ht="15" hidden="false" customHeight="false" outlineLevel="0" collapsed="false">
      <c r="A340" s="42"/>
      <c r="B340" s="29"/>
      <c r="C340" s="29"/>
      <c r="D340" s="29"/>
      <c r="E340" s="29"/>
      <c r="F340" s="29"/>
    </row>
    <row r="341" customFormat="false" ht="15" hidden="false" customHeight="false" outlineLevel="0" collapsed="false">
      <c r="A341" s="42"/>
      <c r="B341" s="29"/>
      <c r="C341" s="29"/>
      <c r="D341" s="29"/>
      <c r="E341" s="29"/>
      <c r="F341" s="29"/>
    </row>
    <row r="342" customFormat="false" ht="15" hidden="false" customHeight="false" outlineLevel="0" collapsed="false">
      <c r="A342" s="42"/>
      <c r="B342" s="29"/>
      <c r="C342" s="29"/>
      <c r="D342" s="29"/>
      <c r="E342" s="29"/>
      <c r="F342" s="29"/>
    </row>
    <row r="343" customFormat="false" ht="15" hidden="false" customHeight="false" outlineLevel="0" collapsed="false">
      <c r="A343" s="42"/>
      <c r="B343" s="29"/>
      <c r="C343" s="29"/>
      <c r="D343" s="29"/>
      <c r="E343" s="29"/>
      <c r="F343" s="29"/>
    </row>
    <row r="344" customFormat="false" ht="15" hidden="false" customHeight="false" outlineLevel="0" collapsed="false">
      <c r="A344" s="42"/>
      <c r="B344" s="29"/>
      <c r="C344" s="29"/>
      <c r="D344" s="29"/>
      <c r="E344" s="29"/>
      <c r="F344" s="29"/>
    </row>
    <row r="345" customFormat="false" ht="15" hidden="false" customHeight="false" outlineLevel="0" collapsed="false">
      <c r="A345" s="42"/>
      <c r="B345" s="29"/>
      <c r="C345" s="29"/>
      <c r="D345" s="29"/>
      <c r="E345" s="29"/>
      <c r="F345" s="29"/>
    </row>
    <row r="346" customFormat="false" ht="15" hidden="false" customHeight="false" outlineLevel="0" collapsed="false">
      <c r="A346" s="42"/>
      <c r="B346" s="29"/>
      <c r="C346" s="29"/>
      <c r="D346" s="29"/>
      <c r="E346" s="29"/>
      <c r="F346" s="29"/>
    </row>
    <row r="347" customFormat="false" ht="15" hidden="false" customHeight="false" outlineLevel="0" collapsed="false">
      <c r="A347" s="42"/>
      <c r="B347" s="29"/>
      <c r="C347" s="29"/>
      <c r="D347" s="29"/>
      <c r="E347" s="29"/>
      <c r="F347" s="29"/>
    </row>
    <row r="348" customFormat="false" ht="15" hidden="false" customHeight="false" outlineLevel="0" collapsed="false">
      <c r="A348" s="42"/>
      <c r="B348" s="29"/>
      <c r="C348" s="29"/>
      <c r="D348" s="29"/>
      <c r="E348" s="29"/>
      <c r="F348" s="29"/>
    </row>
    <row r="349" customFormat="false" ht="15" hidden="false" customHeight="false" outlineLevel="0" collapsed="false">
      <c r="A349" s="42"/>
      <c r="B349" s="29"/>
      <c r="C349" s="29"/>
      <c r="D349" s="29"/>
      <c r="E349" s="29"/>
      <c r="F349" s="29"/>
    </row>
    <row r="350" customFormat="false" ht="15" hidden="false" customHeight="false" outlineLevel="0" collapsed="false">
      <c r="A350" s="42"/>
      <c r="B350" s="29"/>
      <c r="C350" s="29"/>
      <c r="D350" s="29"/>
      <c r="E350" s="29"/>
      <c r="F350" s="29"/>
    </row>
    <row r="351" customFormat="false" ht="15" hidden="false" customHeight="false" outlineLevel="0" collapsed="false">
      <c r="A351" s="42"/>
      <c r="B351" s="29"/>
      <c r="C351" s="29"/>
      <c r="D351" s="29"/>
      <c r="E351" s="29"/>
      <c r="F351" s="29"/>
    </row>
    <row r="352" customFormat="false" ht="15" hidden="false" customHeight="false" outlineLevel="0" collapsed="false">
      <c r="A352" s="42"/>
      <c r="B352" s="29"/>
      <c r="C352" s="29"/>
      <c r="D352" s="29"/>
      <c r="E352" s="29"/>
      <c r="F352" s="29"/>
    </row>
    <row r="353" customFormat="false" ht="15" hidden="false" customHeight="false" outlineLevel="0" collapsed="false">
      <c r="A353" s="42"/>
      <c r="B353" s="29"/>
      <c r="C353" s="29"/>
      <c r="D353" s="29"/>
      <c r="E353" s="29"/>
      <c r="F353" s="29"/>
    </row>
    <row r="354" customFormat="false" ht="15" hidden="false" customHeight="false" outlineLevel="0" collapsed="false">
      <c r="A354" s="42"/>
      <c r="B354" s="29"/>
      <c r="C354" s="29"/>
      <c r="D354" s="29"/>
      <c r="E354" s="29"/>
      <c r="F354" s="29"/>
    </row>
    <row r="355" customFormat="false" ht="15" hidden="false" customHeight="false" outlineLevel="0" collapsed="false">
      <c r="A355" s="42"/>
      <c r="B355" s="29"/>
      <c r="C355" s="29"/>
      <c r="D355" s="29"/>
      <c r="E355" s="29"/>
      <c r="F355" s="29"/>
    </row>
    <row r="356" customFormat="false" ht="15" hidden="false" customHeight="false" outlineLevel="0" collapsed="false">
      <c r="A356" s="42"/>
      <c r="B356" s="29"/>
      <c r="C356" s="29"/>
      <c r="D356" s="29"/>
      <c r="E356" s="29"/>
      <c r="F356" s="29"/>
    </row>
    <row r="357" customFormat="false" ht="15" hidden="false" customHeight="false" outlineLevel="0" collapsed="false">
      <c r="A357" s="42"/>
      <c r="B357" s="29"/>
      <c r="C357" s="29"/>
      <c r="D357" s="29"/>
      <c r="E357" s="29"/>
      <c r="F357" s="29"/>
    </row>
    <row r="358" customFormat="false" ht="15" hidden="false" customHeight="false" outlineLevel="0" collapsed="false">
      <c r="A358" s="42"/>
      <c r="B358" s="29"/>
      <c r="C358" s="29"/>
      <c r="D358" s="29"/>
      <c r="E358" s="29"/>
      <c r="F358" s="29"/>
    </row>
    <row r="359" customFormat="false" ht="15" hidden="false" customHeight="false" outlineLevel="0" collapsed="false">
      <c r="A359" s="42"/>
      <c r="B359" s="29"/>
      <c r="C359" s="29"/>
      <c r="D359" s="29"/>
      <c r="E359" s="29"/>
      <c r="F359" s="29"/>
    </row>
    <row r="360" customFormat="false" ht="15" hidden="false" customHeight="false" outlineLevel="0" collapsed="false">
      <c r="A360" s="42"/>
      <c r="B360" s="29"/>
      <c r="C360" s="29"/>
      <c r="D360" s="29"/>
      <c r="E360" s="29"/>
      <c r="F360" s="29"/>
    </row>
    <row r="361" customFormat="false" ht="15" hidden="false" customHeight="false" outlineLevel="0" collapsed="false">
      <c r="A361" s="42"/>
      <c r="B361" s="29"/>
      <c r="C361" s="29"/>
      <c r="D361" s="29"/>
      <c r="E361" s="29"/>
      <c r="F361" s="29"/>
    </row>
    <row r="362" customFormat="false" ht="15" hidden="false" customHeight="false" outlineLevel="0" collapsed="false">
      <c r="A362" s="42"/>
      <c r="B362" s="29"/>
      <c r="C362" s="29"/>
      <c r="D362" s="29"/>
      <c r="E362" s="29"/>
      <c r="F362" s="29"/>
    </row>
    <row r="363" customFormat="false" ht="15" hidden="false" customHeight="false" outlineLevel="0" collapsed="false">
      <c r="A363" s="42"/>
      <c r="B363" s="29"/>
      <c r="C363" s="29"/>
      <c r="D363" s="29"/>
      <c r="E363" s="29"/>
      <c r="F363" s="29"/>
    </row>
    <row r="364" customFormat="false" ht="15" hidden="false" customHeight="false" outlineLevel="0" collapsed="false">
      <c r="A364" s="42"/>
      <c r="B364" s="29"/>
      <c r="C364" s="29"/>
      <c r="D364" s="29"/>
      <c r="E364" s="29"/>
      <c r="F364" s="29"/>
    </row>
    <row r="365" customFormat="false" ht="15" hidden="false" customHeight="false" outlineLevel="0" collapsed="false">
      <c r="A365" s="42"/>
      <c r="B365" s="29"/>
      <c r="C365" s="29"/>
      <c r="D365" s="29"/>
      <c r="E365" s="29"/>
      <c r="F365" s="29"/>
    </row>
    <row r="366" customFormat="false" ht="15" hidden="false" customHeight="false" outlineLevel="0" collapsed="false">
      <c r="A366" s="42"/>
      <c r="B366" s="29"/>
      <c r="C366" s="29"/>
      <c r="D366" s="29"/>
      <c r="E366" s="29"/>
      <c r="F366" s="29"/>
    </row>
    <row r="367" customFormat="false" ht="15" hidden="false" customHeight="false" outlineLevel="0" collapsed="false">
      <c r="A367" s="42"/>
      <c r="B367" s="29"/>
      <c r="C367" s="29"/>
      <c r="D367" s="29"/>
      <c r="E367" s="29"/>
      <c r="F367" s="29"/>
    </row>
    <row r="368" customFormat="false" ht="15" hidden="false" customHeight="false" outlineLevel="0" collapsed="false">
      <c r="A368" s="42"/>
      <c r="B368" s="29"/>
      <c r="C368" s="29"/>
      <c r="D368" s="29"/>
      <c r="E368" s="29"/>
      <c r="F368" s="29"/>
    </row>
    <row r="369" customFormat="false" ht="15" hidden="false" customHeight="false" outlineLevel="0" collapsed="false">
      <c r="A369" s="42"/>
      <c r="B369" s="29"/>
      <c r="C369" s="29"/>
      <c r="D369" s="29"/>
      <c r="E369" s="29"/>
      <c r="F369" s="29"/>
    </row>
    <row r="370" customFormat="false" ht="15" hidden="false" customHeight="false" outlineLevel="0" collapsed="false">
      <c r="A370" s="42"/>
      <c r="B370" s="29"/>
      <c r="C370" s="29"/>
      <c r="D370" s="29"/>
      <c r="E370" s="29"/>
      <c r="F370" s="29"/>
    </row>
    <row r="371" customFormat="false" ht="15" hidden="false" customHeight="false" outlineLevel="0" collapsed="false">
      <c r="A371" s="42"/>
      <c r="B371" s="29"/>
      <c r="C371" s="29"/>
      <c r="D371" s="29"/>
      <c r="E371" s="29"/>
      <c r="F371" s="29"/>
    </row>
    <row r="372" customFormat="false" ht="15" hidden="false" customHeight="false" outlineLevel="0" collapsed="false">
      <c r="A372" s="42"/>
      <c r="B372" s="29"/>
      <c r="C372" s="29"/>
      <c r="D372" s="29"/>
      <c r="E372" s="29"/>
      <c r="F372" s="29"/>
    </row>
    <row r="373" customFormat="false" ht="15" hidden="false" customHeight="false" outlineLevel="0" collapsed="false">
      <c r="A373" s="42"/>
      <c r="B373" s="29"/>
      <c r="C373" s="29"/>
      <c r="D373" s="29"/>
      <c r="E373" s="29"/>
      <c r="F373" s="29"/>
    </row>
    <row r="374" customFormat="false" ht="15" hidden="false" customHeight="false" outlineLevel="0" collapsed="false">
      <c r="A374" s="42"/>
      <c r="B374" s="29"/>
      <c r="C374" s="29"/>
      <c r="D374" s="29"/>
      <c r="E374" s="29"/>
      <c r="F374" s="29"/>
    </row>
    <row r="375" customFormat="false" ht="15" hidden="false" customHeight="false" outlineLevel="0" collapsed="false">
      <c r="A375" s="42"/>
      <c r="B375" s="29"/>
      <c r="C375" s="29"/>
      <c r="D375" s="29"/>
      <c r="E375" s="29"/>
      <c r="F375" s="29"/>
    </row>
    <row r="376" customFormat="false" ht="15" hidden="false" customHeight="false" outlineLevel="0" collapsed="false">
      <c r="A376" s="42"/>
      <c r="B376" s="29"/>
      <c r="C376" s="29"/>
      <c r="D376" s="29"/>
      <c r="E376" s="29"/>
      <c r="F376" s="29"/>
    </row>
    <row r="377" customFormat="false" ht="15" hidden="false" customHeight="false" outlineLevel="0" collapsed="false">
      <c r="A377" s="42"/>
      <c r="B377" s="29"/>
      <c r="C377" s="29"/>
      <c r="D377" s="29"/>
      <c r="E377" s="29"/>
      <c r="F377" s="29"/>
    </row>
    <row r="378" customFormat="false" ht="15" hidden="false" customHeight="false" outlineLevel="0" collapsed="false">
      <c r="A378" s="42"/>
      <c r="B378" s="29"/>
      <c r="C378" s="29"/>
      <c r="D378" s="29"/>
      <c r="E378" s="29"/>
      <c r="F378" s="29"/>
    </row>
    <row r="379" customFormat="false" ht="15" hidden="false" customHeight="false" outlineLevel="0" collapsed="false">
      <c r="A379" s="42"/>
      <c r="B379" s="29"/>
      <c r="C379" s="29"/>
      <c r="D379" s="29"/>
      <c r="E379" s="29"/>
      <c r="F379" s="29"/>
    </row>
    <row r="380" customFormat="false" ht="15" hidden="false" customHeight="false" outlineLevel="0" collapsed="false">
      <c r="A380" s="42"/>
      <c r="B380" s="29"/>
      <c r="C380" s="29"/>
      <c r="D380" s="29"/>
      <c r="E380" s="29"/>
      <c r="F380" s="29"/>
    </row>
    <row r="381" customFormat="false" ht="15" hidden="false" customHeight="false" outlineLevel="0" collapsed="false">
      <c r="A381" s="42"/>
      <c r="B381" s="29"/>
      <c r="C381" s="29"/>
      <c r="D381" s="29"/>
      <c r="E381" s="29"/>
      <c r="F381" s="29"/>
    </row>
    <row r="382" customFormat="false" ht="15" hidden="false" customHeight="false" outlineLevel="0" collapsed="false">
      <c r="A382" s="42"/>
      <c r="B382" s="29"/>
      <c r="C382" s="29"/>
      <c r="D382" s="29"/>
      <c r="E382" s="29"/>
      <c r="F382" s="29"/>
    </row>
    <row r="383" customFormat="false" ht="15" hidden="false" customHeight="false" outlineLevel="0" collapsed="false">
      <c r="A383" s="42"/>
      <c r="B383" s="29"/>
      <c r="C383" s="29"/>
      <c r="D383" s="29"/>
      <c r="E383" s="29"/>
      <c r="F383" s="29"/>
    </row>
    <row r="384" customFormat="false" ht="15" hidden="false" customHeight="false" outlineLevel="0" collapsed="false">
      <c r="A384" s="42"/>
      <c r="B384" s="29"/>
      <c r="C384" s="29"/>
      <c r="D384" s="29"/>
      <c r="E384" s="29"/>
      <c r="F384" s="29"/>
    </row>
    <row r="385" customFormat="false" ht="15" hidden="false" customHeight="false" outlineLevel="0" collapsed="false">
      <c r="A385" s="42"/>
      <c r="B385" s="29"/>
      <c r="C385" s="29"/>
      <c r="D385" s="29"/>
      <c r="E385" s="29"/>
      <c r="F385" s="29"/>
    </row>
    <row r="386" customFormat="false" ht="15" hidden="false" customHeight="false" outlineLevel="0" collapsed="false">
      <c r="A386" s="42"/>
      <c r="B386" s="29"/>
      <c r="C386" s="29"/>
      <c r="D386" s="29"/>
      <c r="E386" s="29"/>
      <c r="F386" s="29"/>
    </row>
    <row r="387" customFormat="false" ht="15" hidden="false" customHeight="false" outlineLevel="0" collapsed="false">
      <c r="A387" s="42"/>
      <c r="B387" s="29"/>
      <c r="C387" s="29"/>
      <c r="D387" s="29"/>
      <c r="E387" s="29"/>
      <c r="F387" s="29"/>
    </row>
    <row r="388" customFormat="false" ht="15" hidden="false" customHeight="false" outlineLevel="0" collapsed="false">
      <c r="A388" s="42"/>
      <c r="B388" s="29"/>
      <c r="C388" s="29"/>
      <c r="D388" s="29"/>
      <c r="E388" s="29"/>
      <c r="F388" s="29"/>
    </row>
    <row r="389" customFormat="false" ht="15" hidden="false" customHeight="false" outlineLevel="0" collapsed="false">
      <c r="A389" s="42"/>
      <c r="B389" s="29"/>
      <c r="C389" s="29"/>
      <c r="D389" s="29"/>
      <c r="E389" s="29"/>
      <c r="F389" s="29"/>
    </row>
    <row r="390" customFormat="false" ht="15" hidden="false" customHeight="false" outlineLevel="0" collapsed="false">
      <c r="A390" s="42"/>
      <c r="B390" s="29"/>
      <c r="C390" s="29"/>
      <c r="D390" s="29"/>
      <c r="E390" s="29"/>
      <c r="F390" s="29"/>
    </row>
    <row r="391" customFormat="false" ht="15" hidden="false" customHeight="false" outlineLevel="0" collapsed="false">
      <c r="A391" s="42"/>
      <c r="B391" s="29"/>
      <c r="C391" s="29"/>
      <c r="D391" s="29"/>
      <c r="E391" s="29"/>
      <c r="F391" s="29"/>
    </row>
    <row r="392" customFormat="false" ht="15" hidden="false" customHeight="false" outlineLevel="0" collapsed="false">
      <c r="A392" s="42"/>
      <c r="B392" s="29"/>
      <c r="C392" s="29"/>
      <c r="D392" s="29"/>
      <c r="E392" s="29"/>
      <c r="F392" s="29"/>
    </row>
    <row r="393" customFormat="false" ht="15" hidden="false" customHeight="false" outlineLevel="0" collapsed="false">
      <c r="A393" s="42"/>
      <c r="B393" s="29"/>
      <c r="C393" s="29"/>
      <c r="D393" s="29"/>
      <c r="E393" s="29"/>
      <c r="F393" s="29"/>
    </row>
    <row r="394" customFormat="false" ht="15" hidden="false" customHeight="false" outlineLevel="0" collapsed="false">
      <c r="A394" s="42"/>
      <c r="B394" s="29"/>
      <c r="C394" s="29"/>
      <c r="D394" s="29"/>
      <c r="E394" s="29"/>
      <c r="F394" s="29"/>
    </row>
    <row r="395" customFormat="false" ht="15" hidden="false" customHeight="false" outlineLevel="0" collapsed="false">
      <c r="A395" s="42"/>
      <c r="B395" s="29"/>
      <c r="C395" s="29"/>
      <c r="D395" s="29"/>
      <c r="E395" s="29"/>
      <c r="F395" s="29"/>
    </row>
    <row r="396" customFormat="false" ht="15" hidden="false" customHeight="false" outlineLevel="0" collapsed="false">
      <c r="A396" s="42"/>
      <c r="B396" s="29"/>
      <c r="C396" s="29"/>
      <c r="D396" s="29"/>
      <c r="E396" s="29"/>
      <c r="F396" s="29"/>
    </row>
    <row r="397" customFormat="false" ht="15" hidden="false" customHeight="false" outlineLevel="0" collapsed="false">
      <c r="A397" s="42"/>
      <c r="B397" s="29"/>
      <c r="C397" s="29"/>
      <c r="D397" s="29"/>
      <c r="E397" s="29"/>
      <c r="F397" s="29"/>
    </row>
    <row r="398" customFormat="false" ht="15" hidden="false" customHeight="false" outlineLevel="0" collapsed="false">
      <c r="A398" s="42"/>
      <c r="B398" s="29"/>
      <c r="C398" s="29"/>
      <c r="D398" s="29"/>
      <c r="E398" s="29"/>
      <c r="F398" s="29"/>
    </row>
    <row r="399" customFormat="false" ht="15" hidden="false" customHeight="false" outlineLevel="0" collapsed="false">
      <c r="A399" s="42"/>
      <c r="B399" s="29"/>
      <c r="C399" s="29"/>
      <c r="D399" s="29"/>
      <c r="E399" s="29"/>
      <c r="F399" s="29"/>
    </row>
    <row r="400" customFormat="false" ht="15" hidden="false" customHeight="false" outlineLevel="0" collapsed="false">
      <c r="A400" s="42"/>
      <c r="B400" s="29"/>
      <c r="C400" s="29"/>
      <c r="D400" s="29"/>
      <c r="E400" s="29"/>
      <c r="F400" s="29"/>
    </row>
    <row r="401" customFormat="false" ht="15" hidden="false" customHeight="false" outlineLevel="0" collapsed="false">
      <c r="A401" s="42"/>
      <c r="B401" s="29"/>
      <c r="C401" s="29"/>
      <c r="D401" s="29"/>
      <c r="E401" s="29"/>
      <c r="F401" s="29"/>
    </row>
    <row r="402" customFormat="false" ht="15" hidden="false" customHeight="false" outlineLevel="0" collapsed="false">
      <c r="A402" s="42"/>
      <c r="B402" s="29"/>
      <c r="C402" s="29"/>
      <c r="D402" s="29"/>
      <c r="E402" s="29"/>
      <c r="F402" s="29"/>
    </row>
    <row r="403" customFormat="false" ht="15" hidden="false" customHeight="false" outlineLevel="0" collapsed="false">
      <c r="A403" s="42"/>
      <c r="B403" s="29"/>
      <c r="C403" s="29"/>
      <c r="D403" s="29"/>
      <c r="E403" s="29"/>
      <c r="F403" s="29"/>
    </row>
    <row r="404" customFormat="false" ht="15" hidden="false" customHeight="false" outlineLevel="0" collapsed="false">
      <c r="A404" s="42"/>
      <c r="B404" s="29"/>
      <c r="C404" s="29"/>
      <c r="D404" s="29"/>
      <c r="E404" s="29"/>
      <c r="F404" s="29"/>
    </row>
    <row r="405" customFormat="false" ht="15" hidden="false" customHeight="false" outlineLevel="0" collapsed="false">
      <c r="A405" s="42"/>
      <c r="B405" s="29"/>
      <c r="C405" s="29"/>
      <c r="D405" s="29"/>
      <c r="E405" s="29"/>
      <c r="F405" s="29"/>
    </row>
    <row r="406" customFormat="false" ht="15" hidden="false" customHeight="false" outlineLevel="0" collapsed="false">
      <c r="A406" s="42"/>
      <c r="B406" s="29"/>
      <c r="C406" s="29"/>
      <c r="D406" s="29"/>
      <c r="E406" s="29"/>
      <c r="F406" s="29"/>
    </row>
    <row r="407" customFormat="false" ht="15" hidden="false" customHeight="false" outlineLevel="0" collapsed="false">
      <c r="A407" s="42"/>
      <c r="B407" s="29"/>
      <c r="C407" s="29"/>
      <c r="D407" s="29"/>
      <c r="E407" s="29"/>
      <c r="F407" s="29"/>
    </row>
    <row r="408" customFormat="false" ht="15" hidden="false" customHeight="false" outlineLevel="0" collapsed="false">
      <c r="A408" s="42"/>
      <c r="B408" s="29"/>
      <c r="C408" s="29"/>
      <c r="D408" s="29"/>
      <c r="E408" s="29"/>
      <c r="F408" s="29"/>
    </row>
    <row r="409" customFormat="false" ht="15" hidden="false" customHeight="false" outlineLevel="0" collapsed="false">
      <c r="A409" s="42"/>
      <c r="B409" s="29"/>
      <c r="C409" s="29"/>
      <c r="D409" s="29"/>
      <c r="E409" s="29"/>
      <c r="F409" s="29"/>
    </row>
    <row r="410" customFormat="false" ht="15" hidden="false" customHeight="false" outlineLevel="0" collapsed="false">
      <c r="A410" s="42"/>
      <c r="B410" s="29"/>
      <c r="C410" s="29"/>
      <c r="D410" s="29"/>
      <c r="E410" s="29"/>
      <c r="F410" s="29"/>
    </row>
    <row r="411" customFormat="false" ht="15" hidden="false" customHeight="false" outlineLevel="0" collapsed="false">
      <c r="A411" s="42"/>
      <c r="B411" s="29"/>
      <c r="C411" s="29"/>
      <c r="D411" s="29"/>
      <c r="E411" s="29"/>
      <c r="F411" s="29"/>
    </row>
    <row r="412" customFormat="false" ht="15" hidden="false" customHeight="false" outlineLevel="0" collapsed="false">
      <c r="A412" s="42"/>
      <c r="B412" s="29"/>
      <c r="C412" s="29"/>
      <c r="D412" s="29"/>
      <c r="E412" s="29"/>
      <c r="F412" s="29"/>
    </row>
    <row r="413" customFormat="false" ht="15" hidden="false" customHeight="false" outlineLevel="0" collapsed="false">
      <c r="A413" s="42"/>
      <c r="B413" s="29"/>
      <c r="C413" s="29"/>
      <c r="D413" s="29"/>
      <c r="E413" s="29"/>
      <c r="F413" s="29"/>
    </row>
    <row r="414" customFormat="false" ht="15" hidden="false" customHeight="false" outlineLevel="0" collapsed="false">
      <c r="A414" s="42"/>
      <c r="B414" s="29"/>
      <c r="C414" s="29"/>
      <c r="D414" s="29"/>
      <c r="E414" s="29"/>
      <c r="F414" s="29"/>
    </row>
    <row r="415" customFormat="false" ht="15" hidden="false" customHeight="false" outlineLevel="0" collapsed="false">
      <c r="A415" s="42"/>
      <c r="B415" s="29"/>
      <c r="C415" s="29"/>
      <c r="D415" s="29"/>
      <c r="E415" s="29"/>
      <c r="F415" s="29"/>
    </row>
    <row r="416" customFormat="false" ht="15" hidden="false" customHeight="false" outlineLevel="0" collapsed="false">
      <c r="A416" s="42"/>
      <c r="B416" s="29"/>
      <c r="C416" s="29"/>
      <c r="D416" s="29"/>
      <c r="E416" s="29"/>
      <c r="F416" s="29"/>
    </row>
    <row r="417" customFormat="false" ht="15" hidden="false" customHeight="false" outlineLevel="0" collapsed="false">
      <c r="A417" s="42"/>
      <c r="B417" s="29"/>
      <c r="C417" s="29"/>
      <c r="D417" s="29"/>
      <c r="E417" s="29"/>
      <c r="F417" s="29"/>
    </row>
    <row r="418" customFormat="false" ht="15" hidden="false" customHeight="false" outlineLevel="0" collapsed="false">
      <c r="A418" s="42"/>
      <c r="B418" s="29"/>
      <c r="C418" s="29"/>
      <c r="D418" s="29"/>
      <c r="E418" s="29"/>
      <c r="F418" s="29"/>
    </row>
    <row r="419" customFormat="false" ht="15" hidden="false" customHeight="false" outlineLevel="0" collapsed="false">
      <c r="A419" s="42"/>
      <c r="B419" s="29"/>
      <c r="C419" s="29"/>
      <c r="D419" s="29"/>
      <c r="E419" s="29"/>
      <c r="F419" s="29"/>
    </row>
    <row r="420" customFormat="false" ht="15" hidden="false" customHeight="false" outlineLevel="0" collapsed="false">
      <c r="A420" s="42"/>
      <c r="B420" s="29"/>
      <c r="C420" s="29"/>
      <c r="D420" s="29"/>
      <c r="E420" s="29"/>
      <c r="F420" s="29"/>
    </row>
    <row r="421" customFormat="false" ht="15" hidden="false" customHeight="false" outlineLevel="0" collapsed="false">
      <c r="A421" s="42"/>
      <c r="B421" s="29"/>
      <c r="C421" s="29"/>
      <c r="D421" s="29"/>
      <c r="E421" s="29"/>
      <c r="F421" s="29"/>
    </row>
    <row r="422" customFormat="false" ht="15" hidden="false" customHeight="false" outlineLevel="0" collapsed="false">
      <c r="A422" s="42"/>
      <c r="B422" s="29"/>
      <c r="C422" s="29"/>
      <c r="D422" s="29"/>
      <c r="E422" s="29"/>
      <c r="F422" s="29"/>
    </row>
    <row r="423" customFormat="false" ht="15" hidden="false" customHeight="false" outlineLevel="0" collapsed="false">
      <c r="A423" s="42"/>
      <c r="B423" s="29"/>
      <c r="C423" s="29"/>
      <c r="D423" s="29"/>
      <c r="E423" s="29"/>
      <c r="F423" s="29"/>
    </row>
    <row r="424" customFormat="false" ht="15" hidden="false" customHeight="false" outlineLevel="0" collapsed="false">
      <c r="A424" s="42"/>
      <c r="B424" s="29"/>
      <c r="C424" s="29"/>
      <c r="D424" s="29"/>
      <c r="E424" s="29"/>
      <c r="F424" s="29"/>
    </row>
    <row r="425" customFormat="false" ht="15" hidden="false" customHeight="false" outlineLevel="0" collapsed="false">
      <c r="A425" s="42"/>
      <c r="B425" s="29"/>
      <c r="C425" s="29"/>
      <c r="D425" s="29"/>
      <c r="E425" s="29"/>
      <c r="F425" s="29"/>
    </row>
    <row r="426" customFormat="false" ht="15" hidden="false" customHeight="false" outlineLevel="0" collapsed="false">
      <c r="A426" s="42"/>
      <c r="B426" s="29"/>
      <c r="C426" s="29"/>
      <c r="D426" s="29"/>
      <c r="E426" s="29"/>
      <c r="F426" s="29"/>
    </row>
    <row r="427" customFormat="false" ht="15" hidden="false" customHeight="false" outlineLevel="0" collapsed="false">
      <c r="A427" s="42"/>
      <c r="B427" s="29"/>
      <c r="C427" s="29"/>
      <c r="D427" s="29"/>
      <c r="E427" s="29"/>
      <c r="F427" s="29"/>
    </row>
    <row r="428" customFormat="false" ht="15" hidden="false" customHeight="false" outlineLevel="0" collapsed="false">
      <c r="A428" s="42"/>
      <c r="B428" s="29"/>
      <c r="C428" s="29"/>
      <c r="D428" s="29"/>
      <c r="E428" s="29"/>
      <c r="F428" s="29"/>
    </row>
    <row r="429" customFormat="false" ht="15" hidden="false" customHeight="false" outlineLevel="0" collapsed="false">
      <c r="A429" s="42"/>
      <c r="B429" s="29"/>
      <c r="C429" s="29"/>
      <c r="D429" s="29"/>
      <c r="E429" s="29"/>
      <c r="F429" s="29"/>
    </row>
    <row r="430" customFormat="false" ht="15" hidden="false" customHeight="false" outlineLevel="0" collapsed="false">
      <c r="A430" s="42"/>
      <c r="B430" s="29"/>
      <c r="C430" s="29"/>
      <c r="D430" s="29"/>
      <c r="E430" s="29"/>
      <c r="F430" s="29"/>
    </row>
    <row r="431" customFormat="false" ht="15" hidden="false" customHeight="false" outlineLevel="0" collapsed="false">
      <c r="A431" s="42"/>
      <c r="B431" s="29"/>
      <c r="C431" s="29"/>
      <c r="D431" s="29"/>
      <c r="E431" s="29"/>
      <c r="F431" s="29"/>
    </row>
    <row r="432" customFormat="false" ht="15" hidden="false" customHeight="false" outlineLevel="0" collapsed="false">
      <c r="A432" s="42"/>
      <c r="B432" s="29"/>
      <c r="C432" s="29"/>
      <c r="D432" s="29"/>
      <c r="E432" s="29"/>
      <c r="F432" s="29"/>
    </row>
    <row r="433" customFormat="false" ht="15" hidden="false" customHeight="false" outlineLevel="0" collapsed="false">
      <c r="A433" s="42"/>
      <c r="B433" s="29"/>
      <c r="C433" s="29"/>
      <c r="D433" s="29"/>
      <c r="E433" s="29"/>
      <c r="F433" s="29"/>
    </row>
    <row r="434" customFormat="false" ht="15" hidden="false" customHeight="false" outlineLevel="0" collapsed="false">
      <c r="A434" s="42"/>
      <c r="B434" s="29"/>
      <c r="C434" s="29"/>
      <c r="D434" s="29"/>
      <c r="E434" s="29"/>
      <c r="F434" s="29"/>
    </row>
    <row r="435" customFormat="false" ht="15" hidden="false" customHeight="false" outlineLevel="0" collapsed="false">
      <c r="A435" s="42"/>
      <c r="B435" s="29"/>
      <c r="C435" s="29"/>
      <c r="D435" s="29"/>
      <c r="E435" s="29"/>
      <c r="F435" s="29"/>
    </row>
    <row r="436" customFormat="false" ht="15" hidden="false" customHeight="false" outlineLevel="0" collapsed="false">
      <c r="A436" s="42"/>
      <c r="B436" s="29"/>
      <c r="C436" s="29"/>
      <c r="D436" s="29"/>
      <c r="E436" s="29"/>
      <c r="F436" s="29"/>
    </row>
    <row r="437" customFormat="false" ht="15" hidden="false" customHeight="false" outlineLevel="0" collapsed="false">
      <c r="A437" s="42"/>
      <c r="B437" s="29"/>
      <c r="C437" s="29"/>
      <c r="D437" s="29"/>
      <c r="E437" s="29"/>
      <c r="F437" s="29"/>
    </row>
    <row r="438" customFormat="false" ht="15" hidden="false" customHeight="false" outlineLevel="0" collapsed="false">
      <c r="A438" s="42"/>
      <c r="B438" s="29"/>
      <c r="C438" s="29"/>
      <c r="D438" s="29"/>
      <c r="E438" s="29"/>
      <c r="F438" s="29"/>
    </row>
    <row r="439" customFormat="false" ht="15" hidden="false" customHeight="false" outlineLevel="0" collapsed="false">
      <c r="A439" s="42"/>
      <c r="B439" s="29"/>
      <c r="C439" s="29"/>
      <c r="D439" s="29"/>
      <c r="E439" s="29"/>
      <c r="F439" s="29"/>
    </row>
    <row r="440" customFormat="false" ht="15" hidden="false" customHeight="false" outlineLevel="0" collapsed="false">
      <c r="A440" s="42"/>
      <c r="B440" s="29"/>
      <c r="C440" s="29"/>
      <c r="D440" s="29"/>
      <c r="E440" s="29"/>
      <c r="F440" s="29"/>
    </row>
    <row r="441" customFormat="false" ht="15" hidden="false" customHeight="false" outlineLevel="0" collapsed="false">
      <c r="A441" s="42"/>
      <c r="B441" s="29"/>
      <c r="C441" s="29"/>
      <c r="D441" s="29"/>
      <c r="E441" s="29"/>
      <c r="F441" s="29"/>
    </row>
    <row r="442" customFormat="false" ht="15" hidden="false" customHeight="false" outlineLevel="0" collapsed="false">
      <c r="A442" s="42"/>
      <c r="B442" s="29"/>
      <c r="C442" s="29"/>
      <c r="D442" s="29"/>
      <c r="E442" s="29"/>
      <c r="F442" s="29"/>
    </row>
    <row r="443" customFormat="false" ht="15" hidden="false" customHeight="false" outlineLevel="0" collapsed="false">
      <c r="A443" s="42"/>
      <c r="B443" s="29"/>
      <c r="C443" s="29"/>
      <c r="D443" s="29"/>
      <c r="E443" s="29"/>
      <c r="F443" s="29"/>
    </row>
    <row r="444" customFormat="false" ht="15" hidden="false" customHeight="false" outlineLevel="0" collapsed="false">
      <c r="A444" s="42"/>
      <c r="B444" s="29"/>
      <c r="C444" s="29"/>
      <c r="D444" s="29"/>
      <c r="E444" s="29"/>
      <c r="F444" s="29"/>
    </row>
    <row r="445" customFormat="false" ht="15" hidden="false" customHeight="false" outlineLevel="0" collapsed="false">
      <c r="A445" s="42"/>
      <c r="B445" s="29"/>
      <c r="C445" s="29"/>
      <c r="D445" s="29"/>
      <c r="E445" s="29"/>
      <c r="F445" s="29"/>
    </row>
    <row r="446" customFormat="false" ht="15" hidden="false" customHeight="false" outlineLevel="0" collapsed="false">
      <c r="A446" s="42"/>
      <c r="B446" s="29"/>
      <c r="C446" s="29"/>
      <c r="D446" s="29"/>
      <c r="E446" s="29"/>
      <c r="F446" s="29"/>
    </row>
    <row r="447" customFormat="false" ht="15" hidden="false" customHeight="false" outlineLevel="0" collapsed="false">
      <c r="A447" s="42"/>
      <c r="B447" s="29"/>
      <c r="C447" s="29"/>
      <c r="D447" s="29"/>
      <c r="E447" s="29"/>
      <c r="F447" s="29"/>
    </row>
    <row r="448" customFormat="false" ht="15" hidden="false" customHeight="false" outlineLevel="0" collapsed="false">
      <c r="A448" s="42"/>
      <c r="B448" s="29"/>
      <c r="C448" s="29"/>
      <c r="D448" s="29"/>
      <c r="E448" s="29"/>
      <c r="F448" s="29"/>
    </row>
    <row r="449" customFormat="false" ht="15" hidden="false" customHeight="false" outlineLevel="0" collapsed="false">
      <c r="A449" s="42"/>
      <c r="B449" s="29"/>
      <c r="C449" s="29"/>
      <c r="D449" s="29"/>
      <c r="E449" s="29"/>
      <c r="F449" s="29"/>
    </row>
    <row r="450" customFormat="false" ht="15" hidden="false" customHeight="false" outlineLevel="0" collapsed="false">
      <c r="A450" s="42"/>
      <c r="B450" s="29"/>
      <c r="C450" s="29"/>
      <c r="D450" s="29"/>
      <c r="E450" s="29"/>
      <c r="F450" s="29"/>
    </row>
    <row r="451" customFormat="false" ht="15" hidden="false" customHeight="false" outlineLevel="0" collapsed="false">
      <c r="A451" s="42"/>
      <c r="B451" s="29"/>
      <c r="C451" s="29"/>
      <c r="D451" s="29"/>
      <c r="E451" s="29"/>
      <c r="F451" s="29"/>
    </row>
    <row r="452" customFormat="false" ht="15" hidden="false" customHeight="false" outlineLevel="0" collapsed="false">
      <c r="A452" s="42"/>
      <c r="B452" s="29"/>
      <c r="C452" s="29"/>
      <c r="D452" s="29"/>
      <c r="E452" s="29"/>
      <c r="F452" s="29"/>
    </row>
    <row r="453" customFormat="false" ht="15" hidden="false" customHeight="false" outlineLevel="0" collapsed="false">
      <c r="A453" s="42"/>
      <c r="B453" s="29"/>
      <c r="C453" s="29"/>
      <c r="D453" s="29"/>
      <c r="E453" s="29"/>
      <c r="F453" s="29"/>
    </row>
    <row r="454" customFormat="false" ht="15" hidden="false" customHeight="false" outlineLevel="0" collapsed="false">
      <c r="A454" s="42"/>
      <c r="B454" s="29"/>
      <c r="C454" s="29"/>
      <c r="D454" s="29"/>
      <c r="E454" s="29"/>
      <c r="F454" s="29"/>
    </row>
    <row r="455" customFormat="false" ht="15" hidden="false" customHeight="false" outlineLevel="0" collapsed="false">
      <c r="A455" s="42"/>
      <c r="B455" s="29"/>
      <c r="C455" s="29"/>
      <c r="D455" s="29"/>
      <c r="E455" s="29"/>
      <c r="F455" s="29"/>
    </row>
    <row r="456" customFormat="false" ht="15" hidden="false" customHeight="false" outlineLevel="0" collapsed="false">
      <c r="A456" s="42"/>
      <c r="B456" s="29"/>
      <c r="C456" s="29"/>
      <c r="D456" s="29"/>
      <c r="E456" s="29"/>
      <c r="F456" s="29"/>
    </row>
    <row r="457" customFormat="false" ht="15" hidden="false" customHeight="false" outlineLevel="0" collapsed="false">
      <c r="A457" s="42"/>
      <c r="B457" s="29"/>
      <c r="C457" s="29"/>
      <c r="D457" s="29"/>
      <c r="E457" s="29"/>
      <c r="F457" s="29"/>
    </row>
    <row r="458" customFormat="false" ht="15" hidden="false" customHeight="false" outlineLevel="0" collapsed="false">
      <c r="A458" s="42"/>
      <c r="B458" s="29"/>
      <c r="C458" s="29"/>
      <c r="D458" s="29"/>
      <c r="E458" s="29"/>
      <c r="F458" s="29"/>
    </row>
    <row r="459" customFormat="false" ht="15" hidden="false" customHeight="false" outlineLevel="0" collapsed="false">
      <c r="A459" s="42"/>
      <c r="B459" s="29"/>
      <c r="C459" s="29"/>
      <c r="D459" s="29"/>
      <c r="E459" s="29"/>
      <c r="F459" s="29"/>
    </row>
    <row r="460" customFormat="false" ht="15" hidden="false" customHeight="false" outlineLevel="0" collapsed="false">
      <c r="A460" s="42"/>
      <c r="B460" s="29"/>
      <c r="C460" s="29"/>
      <c r="D460" s="29"/>
      <c r="E460" s="29"/>
      <c r="F460" s="29"/>
    </row>
    <row r="461" customFormat="false" ht="15" hidden="false" customHeight="false" outlineLevel="0" collapsed="false">
      <c r="A461" s="42"/>
      <c r="B461" s="29"/>
      <c r="C461" s="29"/>
      <c r="D461" s="29"/>
      <c r="E461" s="29"/>
      <c r="F461" s="29"/>
    </row>
    <row r="462" customFormat="false" ht="15" hidden="false" customHeight="false" outlineLevel="0" collapsed="false">
      <c r="A462" s="42"/>
      <c r="B462" s="29"/>
      <c r="C462" s="29"/>
      <c r="D462" s="29"/>
      <c r="E462" s="29"/>
      <c r="F462" s="29"/>
    </row>
    <row r="463" customFormat="false" ht="15" hidden="false" customHeight="false" outlineLevel="0" collapsed="false">
      <c r="A463" s="42"/>
      <c r="B463" s="29"/>
      <c r="C463" s="29"/>
      <c r="D463" s="29"/>
      <c r="E463" s="29"/>
      <c r="F463" s="29"/>
    </row>
    <row r="464" customFormat="false" ht="15" hidden="false" customHeight="false" outlineLevel="0" collapsed="false">
      <c r="A464" s="42"/>
      <c r="B464" s="29"/>
      <c r="C464" s="29"/>
      <c r="D464" s="29"/>
      <c r="E464" s="29"/>
      <c r="F464" s="29"/>
    </row>
    <row r="465" customFormat="false" ht="15" hidden="false" customHeight="false" outlineLevel="0" collapsed="false">
      <c r="A465" s="42"/>
      <c r="B465" s="29"/>
      <c r="C465" s="29"/>
      <c r="D465" s="29"/>
      <c r="E465" s="29"/>
      <c r="F465" s="29"/>
    </row>
    <row r="466" customFormat="false" ht="15" hidden="false" customHeight="false" outlineLevel="0" collapsed="false">
      <c r="A466" s="42"/>
      <c r="B466" s="29"/>
      <c r="C466" s="29"/>
      <c r="D466" s="29"/>
      <c r="E466" s="29"/>
      <c r="F466" s="29"/>
    </row>
    <row r="467" customFormat="false" ht="15" hidden="false" customHeight="false" outlineLevel="0" collapsed="false">
      <c r="A467" s="42"/>
      <c r="B467" s="29"/>
      <c r="C467" s="29"/>
      <c r="D467" s="29"/>
      <c r="E467" s="29"/>
      <c r="F467" s="29"/>
    </row>
    <row r="468" customFormat="false" ht="15" hidden="false" customHeight="false" outlineLevel="0" collapsed="false">
      <c r="A468" s="42"/>
      <c r="B468" s="29"/>
      <c r="C468" s="29"/>
      <c r="D468" s="29"/>
      <c r="E468" s="29"/>
      <c r="F468" s="29"/>
    </row>
    <row r="469" customFormat="false" ht="15" hidden="false" customHeight="false" outlineLevel="0" collapsed="false">
      <c r="A469" s="42"/>
      <c r="B469" s="29"/>
      <c r="C469" s="29"/>
      <c r="D469" s="29"/>
      <c r="E469" s="29"/>
      <c r="F469" s="29"/>
    </row>
    <row r="470" customFormat="false" ht="15" hidden="false" customHeight="false" outlineLevel="0" collapsed="false">
      <c r="A470" s="42"/>
      <c r="B470" s="29"/>
      <c r="C470" s="29"/>
      <c r="D470" s="29"/>
      <c r="E470" s="29"/>
      <c r="F470" s="29"/>
    </row>
    <row r="471" customFormat="false" ht="15" hidden="false" customHeight="false" outlineLevel="0" collapsed="false">
      <c r="A471" s="42"/>
      <c r="B471" s="29"/>
      <c r="C471" s="29"/>
      <c r="D471" s="29"/>
      <c r="E471" s="29"/>
      <c r="F471" s="29"/>
    </row>
    <row r="472" customFormat="false" ht="15" hidden="false" customHeight="false" outlineLevel="0" collapsed="false">
      <c r="A472" s="42"/>
      <c r="B472" s="29"/>
      <c r="C472" s="29"/>
      <c r="D472" s="29"/>
      <c r="E472" s="29"/>
      <c r="F472" s="29"/>
    </row>
    <row r="473" customFormat="false" ht="15" hidden="false" customHeight="false" outlineLevel="0" collapsed="false">
      <c r="A473" s="42"/>
      <c r="B473" s="29"/>
      <c r="C473" s="29"/>
      <c r="D473" s="29"/>
      <c r="E473" s="29"/>
      <c r="F473" s="29"/>
    </row>
    <row r="474" customFormat="false" ht="15" hidden="false" customHeight="false" outlineLevel="0" collapsed="false">
      <c r="A474" s="42"/>
      <c r="B474" s="29"/>
      <c r="C474" s="29"/>
      <c r="D474" s="29"/>
      <c r="E474" s="29"/>
      <c r="F474" s="29"/>
    </row>
    <row r="475" customFormat="false" ht="15" hidden="false" customHeight="false" outlineLevel="0" collapsed="false">
      <c r="A475" s="42"/>
      <c r="B475" s="29"/>
      <c r="C475" s="29"/>
      <c r="D475" s="29"/>
      <c r="E475" s="29"/>
      <c r="F475" s="29"/>
    </row>
    <row r="476" customFormat="false" ht="15" hidden="false" customHeight="false" outlineLevel="0" collapsed="false">
      <c r="A476" s="42"/>
      <c r="B476" s="29"/>
      <c r="C476" s="29"/>
      <c r="D476" s="29"/>
      <c r="E476" s="29"/>
      <c r="F476" s="29"/>
    </row>
    <row r="477" customFormat="false" ht="15" hidden="false" customHeight="false" outlineLevel="0" collapsed="false">
      <c r="A477" s="42"/>
      <c r="B477" s="29"/>
      <c r="C477" s="29"/>
      <c r="D477" s="29"/>
      <c r="E477" s="29"/>
      <c r="F477" s="29"/>
    </row>
    <row r="478" customFormat="false" ht="15" hidden="false" customHeight="false" outlineLevel="0" collapsed="false">
      <c r="A478" s="42"/>
      <c r="B478" s="29"/>
      <c r="C478" s="29"/>
      <c r="D478" s="29"/>
      <c r="E478" s="29"/>
      <c r="F478" s="29"/>
    </row>
    <row r="479" customFormat="false" ht="15" hidden="false" customHeight="false" outlineLevel="0" collapsed="false">
      <c r="A479" s="42"/>
      <c r="B479" s="29"/>
      <c r="C479" s="29"/>
      <c r="D479" s="29"/>
      <c r="E479" s="29"/>
      <c r="F479" s="29"/>
    </row>
    <row r="480" customFormat="false" ht="15" hidden="false" customHeight="false" outlineLevel="0" collapsed="false">
      <c r="A480" s="42"/>
      <c r="B480" s="29"/>
      <c r="C480" s="29"/>
      <c r="D480" s="29"/>
      <c r="E480" s="29"/>
      <c r="F480" s="29"/>
    </row>
    <row r="481" customFormat="false" ht="15" hidden="false" customHeight="false" outlineLevel="0" collapsed="false">
      <c r="A481" s="42"/>
      <c r="B481" s="29"/>
      <c r="C481" s="29"/>
      <c r="D481" s="29"/>
      <c r="E481" s="29"/>
      <c r="F481" s="29"/>
    </row>
    <row r="482" customFormat="false" ht="15" hidden="false" customHeight="false" outlineLevel="0" collapsed="false">
      <c r="A482" s="42"/>
      <c r="B482" s="29"/>
      <c r="C482" s="29"/>
      <c r="D482" s="29"/>
      <c r="E482" s="29"/>
      <c r="F482" s="29"/>
    </row>
    <row r="483" customFormat="false" ht="15" hidden="false" customHeight="false" outlineLevel="0" collapsed="false">
      <c r="A483" s="42"/>
      <c r="B483" s="29"/>
      <c r="C483" s="29"/>
      <c r="D483" s="29"/>
      <c r="E483" s="29"/>
      <c r="F483" s="29"/>
    </row>
    <row r="484" customFormat="false" ht="15" hidden="false" customHeight="false" outlineLevel="0" collapsed="false">
      <c r="A484" s="42"/>
      <c r="B484" s="29"/>
      <c r="C484" s="29"/>
      <c r="D484" s="29"/>
      <c r="E484" s="29"/>
      <c r="F484" s="29"/>
    </row>
    <row r="485" customFormat="false" ht="15" hidden="false" customHeight="false" outlineLevel="0" collapsed="false">
      <c r="A485" s="42"/>
      <c r="B485" s="29"/>
      <c r="C485" s="29"/>
      <c r="D485" s="29"/>
      <c r="E485" s="29"/>
      <c r="F485" s="29"/>
    </row>
    <row r="486" customFormat="false" ht="15" hidden="false" customHeight="false" outlineLevel="0" collapsed="false">
      <c r="A486" s="42"/>
      <c r="B486" s="29"/>
      <c r="C486" s="29"/>
      <c r="D486" s="29"/>
      <c r="E486" s="29"/>
      <c r="F486" s="29"/>
    </row>
    <row r="487" customFormat="false" ht="15" hidden="false" customHeight="false" outlineLevel="0" collapsed="false">
      <c r="A487" s="42"/>
      <c r="B487" s="29"/>
      <c r="C487" s="29"/>
      <c r="D487" s="29"/>
      <c r="E487" s="29"/>
      <c r="F487" s="29"/>
    </row>
    <row r="488" customFormat="false" ht="15" hidden="false" customHeight="false" outlineLevel="0" collapsed="false">
      <c r="A488" s="42"/>
      <c r="B488" s="29"/>
      <c r="C488" s="29"/>
      <c r="D488" s="29"/>
      <c r="E488" s="29"/>
      <c r="F488" s="29"/>
    </row>
    <row r="489" customFormat="false" ht="15" hidden="false" customHeight="false" outlineLevel="0" collapsed="false">
      <c r="A489" s="42"/>
      <c r="B489" s="29"/>
      <c r="C489" s="29"/>
      <c r="D489" s="29"/>
      <c r="E489" s="29"/>
      <c r="F489" s="29"/>
    </row>
    <row r="490" customFormat="false" ht="15" hidden="false" customHeight="false" outlineLevel="0" collapsed="false">
      <c r="A490" s="42"/>
      <c r="B490" s="29"/>
      <c r="C490" s="29"/>
      <c r="D490" s="29"/>
      <c r="E490" s="29"/>
      <c r="F490" s="29"/>
    </row>
    <row r="491" customFormat="false" ht="15" hidden="false" customHeight="false" outlineLevel="0" collapsed="false">
      <c r="A491" s="42"/>
      <c r="B491" s="29"/>
      <c r="C491" s="29"/>
      <c r="D491" s="29"/>
      <c r="E491" s="29"/>
      <c r="F491" s="29"/>
    </row>
    <row r="492" customFormat="false" ht="15" hidden="false" customHeight="false" outlineLevel="0" collapsed="false">
      <c r="A492" s="42"/>
      <c r="B492" s="29"/>
      <c r="C492" s="29"/>
      <c r="D492" s="29"/>
      <c r="E492" s="29"/>
      <c r="F492" s="29"/>
    </row>
    <row r="493" customFormat="false" ht="15" hidden="false" customHeight="false" outlineLevel="0" collapsed="false">
      <c r="A493" s="42"/>
      <c r="B493" s="29"/>
      <c r="C493" s="29"/>
      <c r="D493" s="29"/>
      <c r="E493" s="29"/>
      <c r="F493" s="29"/>
    </row>
    <row r="494" customFormat="false" ht="15" hidden="false" customHeight="false" outlineLevel="0" collapsed="false">
      <c r="A494" s="42"/>
      <c r="B494" s="29"/>
      <c r="C494" s="29"/>
      <c r="D494" s="29"/>
      <c r="E494" s="29"/>
      <c r="F494" s="29"/>
    </row>
    <row r="495" customFormat="false" ht="15" hidden="false" customHeight="false" outlineLevel="0" collapsed="false">
      <c r="A495" s="42"/>
      <c r="B495" s="29"/>
      <c r="C495" s="29"/>
      <c r="D495" s="29"/>
      <c r="E495" s="29"/>
      <c r="F495" s="29"/>
    </row>
    <row r="496" customFormat="false" ht="15" hidden="false" customHeight="false" outlineLevel="0" collapsed="false">
      <c r="A496" s="42"/>
      <c r="B496" s="29"/>
      <c r="C496" s="29"/>
      <c r="D496" s="29"/>
      <c r="E496" s="29"/>
      <c r="F496" s="29"/>
    </row>
    <row r="497" customFormat="false" ht="15" hidden="false" customHeight="false" outlineLevel="0" collapsed="false">
      <c r="A497" s="42"/>
      <c r="B497" s="29"/>
      <c r="C497" s="29"/>
      <c r="D497" s="29"/>
      <c r="E497" s="29"/>
      <c r="F497" s="29"/>
    </row>
    <row r="498" customFormat="false" ht="15" hidden="false" customHeight="false" outlineLevel="0" collapsed="false">
      <c r="A498" s="42"/>
      <c r="B498" s="29"/>
      <c r="C498" s="29"/>
      <c r="D498" s="29"/>
      <c r="E498" s="29"/>
      <c r="F498" s="29"/>
    </row>
    <row r="499" customFormat="false" ht="15" hidden="false" customHeight="false" outlineLevel="0" collapsed="false">
      <c r="A499" s="42"/>
      <c r="B499" s="29"/>
      <c r="C499" s="29"/>
      <c r="D499" s="29"/>
      <c r="E499" s="29"/>
      <c r="F499" s="29"/>
    </row>
    <row r="500" customFormat="false" ht="15" hidden="false" customHeight="false" outlineLevel="0" collapsed="false">
      <c r="A500" s="42"/>
      <c r="B500" s="29"/>
      <c r="C500" s="29"/>
      <c r="D500" s="29"/>
      <c r="E500" s="29"/>
      <c r="F500" s="29"/>
    </row>
    <row r="501" customFormat="false" ht="15" hidden="false" customHeight="false" outlineLevel="0" collapsed="false">
      <c r="A501" s="42"/>
      <c r="B501" s="29"/>
      <c r="C501" s="29"/>
      <c r="D501" s="29"/>
      <c r="E501" s="29"/>
      <c r="F501" s="29"/>
    </row>
    <row r="502" customFormat="false" ht="15" hidden="false" customHeight="false" outlineLevel="0" collapsed="false">
      <c r="A502" s="42"/>
      <c r="B502" s="29"/>
      <c r="C502" s="29"/>
      <c r="D502" s="29"/>
      <c r="E502" s="29"/>
      <c r="F502" s="29"/>
    </row>
    <row r="503" customFormat="false" ht="15" hidden="false" customHeight="false" outlineLevel="0" collapsed="false">
      <c r="A503" s="42"/>
      <c r="B503" s="29"/>
      <c r="C503" s="29"/>
      <c r="D503" s="29"/>
      <c r="E503" s="29"/>
      <c r="F503" s="29"/>
    </row>
    <row r="504" customFormat="false" ht="15" hidden="false" customHeight="false" outlineLevel="0" collapsed="false">
      <c r="A504" s="42"/>
      <c r="B504" s="29"/>
      <c r="C504" s="29"/>
      <c r="D504" s="29"/>
      <c r="E504" s="29"/>
      <c r="F504" s="29"/>
    </row>
    <row r="505" customFormat="false" ht="15" hidden="false" customHeight="false" outlineLevel="0" collapsed="false">
      <c r="A505" s="42"/>
      <c r="B505" s="29"/>
      <c r="C505" s="29"/>
      <c r="D505" s="29"/>
      <c r="E505" s="29"/>
      <c r="F505" s="29"/>
    </row>
    <row r="506" customFormat="false" ht="15" hidden="false" customHeight="false" outlineLevel="0" collapsed="false">
      <c r="A506" s="42"/>
      <c r="B506" s="29"/>
      <c r="C506" s="29"/>
      <c r="D506" s="29"/>
      <c r="E506" s="29"/>
      <c r="F506" s="29"/>
    </row>
    <row r="507" customFormat="false" ht="15" hidden="false" customHeight="false" outlineLevel="0" collapsed="false">
      <c r="A507" s="42"/>
      <c r="B507" s="29"/>
      <c r="C507" s="29"/>
      <c r="D507" s="29"/>
      <c r="E507" s="29"/>
      <c r="F507" s="29"/>
    </row>
    <row r="508" customFormat="false" ht="15" hidden="false" customHeight="false" outlineLevel="0" collapsed="false">
      <c r="A508" s="42"/>
      <c r="B508" s="29"/>
      <c r="C508" s="29"/>
      <c r="D508" s="29"/>
      <c r="E508" s="29"/>
      <c r="F508" s="29"/>
    </row>
    <row r="509" customFormat="false" ht="15" hidden="false" customHeight="false" outlineLevel="0" collapsed="false">
      <c r="A509" s="42"/>
      <c r="B509" s="29"/>
      <c r="C509" s="29"/>
      <c r="D509" s="29"/>
      <c r="E509" s="29"/>
      <c r="F509" s="29"/>
    </row>
    <row r="510" customFormat="false" ht="15" hidden="false" customHeight="false" outlineLevel="0" collapsed="false">
      <c r="A510" s="42"/>
      <c r="B510" s="29"/>
      <c r="C510" s="29"/>
      <c r="D510" s="29"/>
      <c r="E510" s="29"/>
      <c r="F510" s="29"/>
    </row>
    <row r="511" customFormat="false" ht="15" hidden="false" customHeight="false" outlineLevel="0" collapsed="false">
      <c r="A511" s="42"/>
      <c r="B511" s="29"/>
      <c r="C511" s="29"/>
      <c r="D511" s="29"/>
      <c r="E511" s="29"/>
      <c r="F511" s="29"/>
    </row>
    <row r="512" customFormat="false" ht="15" hidden="false" customHeight="false" outlineLevel="0" collapsed="false">
      <c r="A512" s="42"/>
      <c r="B512" s="29"/>
      <c r="C512" s="29"/>
      <c r="D512" s="29"/>
      <c r="E512" s="29"/>
      <c r="F512" s="29"/>
    </row>
    <row r="513" customFormat="false" ht="15" hidden="false" customHeight="false" outlineLevel="0" collapsed="false">
      <c r="A513" s="42"/>
      <c r="B513" s="29"/>
      <c r="C513" s="29"/>
      <c r="D513" s="29"/>
      <c r="E513" s="29"/>
      <c r="F513" s="29"/>
    </row>
    <row r="514" customFormat="false" ht="15" hidden="false" customHeight="false" outlineLevel="0" collapsed="false">
      <c r="A514" s="42"/>
      <c r="B514" s="29"/>
      <c r="C514" s="29"/>
      <c r="D514" s="29"/>
      <c r="E514" s="29"/>
      <c r="F514" s="29"/>
    </row>
    <row r="515" customFormat="false" ht="15" hidden="false" customHeight="false" outlineLevel="0" collapsed="false">
      <c r="A515" s="42"/>
      <c r="B515" s="29"/>
      <c r="C515" s="29"/>
      <c r="D515" s="29"/>
      <c r="E515" s="29"/>
      <c r="F515" s="29"/>
    </row>
    <row r="516" customFormat="false" ht="15" hidden="false" customHeight="false" outlineLevel="0" collapsed="false">
      <c r="A516" s="42"/>
      <c r="B516" s="29"/>
      <c r="C516" s="29"/>
      <c r="D516" s="29"/>
      <c r="E516" s="29"/>
      <c r="F516" s="29"/>
    </row>
    <row r="517" customFormat="false" ht="15" hidden="false" customHeight="false" outlineLevel="0" collapsed="false">
      <c r="A517" s="42"/>
      <c r="B517" s="29"/>
      <c r="C517" s="29"/>
      <c r="D517" s="29"/>
      <c r="E517" s="29"/>
      <c r="F517" s="29"/>
    </row>
    <row r="518" customFormat="false" ht="15" hidden="false" customHeight="false" outlineLevel="0" collapsed="false">
      <c r="A518" s="42"/>
      <c r="B518" s="29"/>
      <c r="C518" s="29"/>
      <c r="D518" s="29"/>
      <c r="E518" s="29"/>
      <c r="F518" s="29"/>
    </row>
    <row r="519" customFormat="false" ht="15" hidden="false" customHeight="false" outlineLevel="0" collapsed="false">
      <c r="A519" s="42"/>
      <c r="B519" s="29"/>
      <c r="C519" s="29"/>
      <c r="D519" s="29"/>
      <c r="E519" s="29"/>
      <c r="F519" s="29"/>
    </row>
    <row r="520" customFormat="false" ht="15" hidden="false" customHeight="false" outlineLevel="0" collapsed="false">
      <c r="A520" s="42"/>
      <c r="B520" s="29"/>
      <c r="C520" s="29"/>
      <c r="D520" s="29"/>
      <c r="E520" s="29"/>
      <c r="F520" s="29"/>
    </row>
    <row r="521" customFormat="false" ht="15" hidden="false" customHeight="false" outlineLevel="0" collapsed="false">
      <c r="A521" s="42"/>
      <c r="B521" s="29"/>
      <c r="C521" s="29"/>
      <c r="D521" s="29"/>
      <c r="E521" s="29"/>
      <c r="F521" s="29"/>
    </row>
    <row r="522" customFormat="false" ht="15" hidden="false" customHeight="false" outlineLevel="0" collapsed="false">
      <c r="A522" s="42"/>
      <c r="B522" s="29"/>
      <c r="C522" s="29"/>
      <c r="D522" s="29"/>
      <c r="E522" s="29"/>
      <c r="F522" s="29"/>
    </row>
    <row r="523" customFormat="false" ht="15" hidden="false" customHeight="false" outlineLevel="0" collapsed="false">
      <c r="A523" s="42"/>
      <c r="B523" s="29"/>
      <c r="C523" s="29"/>
      <c r="D523" s="29"/>
      <c r="E523" s="29"/>
      <c r="F523" s="29"/>
    </row>
    <row r="524" customFormat="false" ht="15" hidden="false" customHeight="false" outlineLevel="0" collapsed="false">
      <c r="A524" s="42"/>
      <c r="B524" s="29"/>
      <c r="C524" s="29"/>
      <c r="D524" s="29"/>
      <c r="E524" s="29"/>
      <c r="F524" s="29"/>
    </row>
    <row r="525" customFormat="false" ht="15" hidden="false" customHeight="false" outlineLevel="0" collapsed="false">
      <c r="A525" s="42"/>
      <c r="B525" s="29"/>
      <c r="C525" s="29"/>
      <c r="D525" s="29"/>
      <c r="E525" s="29"/>
      <c r="F525" s="29"/>
    </row>
    <row r="526" customFormat="false" ht="15" hidden="false" customHeight="false" outlineLevel="0" collapsed="false">
      <c r="A526" s="42"/>
      <c r="B526" s="29"/>
      <c r="C526" s="29"/>
      <c r="D526" s="29"/>
      <c r="E526" s="29"/>
      <c r="F526" s="29"/>
    </row>
    <row r="527" customFormat="false" ht="15" hidden="false" customHeight="false" outlineLevel="0" collapsed="false">
      <c r="A527" s="42"/>
      <c r="B527" s="29"/>
      <c r="C527" s="29"/>
      <c r="D527" s="29"/>
      <c r="E527" s="29"/>
      <c r="F527" s="29"/>
    </row>
    <row r="528" customFormat="false" ht="15" hidden="false" customHeight="false" outlineLevel="0" collapsed="false">
      <c r="A528" s="42"/>
      <c r="B528" s="29"/>
      <c r="C528" s="29"/>
      <c r="D528" s="29"/>
      <c r="E528" s="29"/>
      <c r="F528" s="29"/>
    </row>
    <row r="529" customFormat="false" ht="15" hidden="false" customHeight="false" outlineLevel="0" collapsed="false">
      <c r="A529" s="42"/>
      <c r="B529" s="29"/>
      <c r="C529" s="29"/>
      <c r="D529" s="29"/>
      <c r="E529" s="29"/>
      <c r="F529" s="29"/>
    </row>
    <row r="530" customFormat="false" ht="15" hidden="false" customHeight="false" outlineLevel="0" collapsed="false">
      <c r="A530" s="42"/>
      <c r="B530" s="29"/>
      <c r="C530" s="29"/>
      <c r="D530" s="29"/>
      <c r="E530" s="29"/>
      <c r="F530" s="29"/>
    </row>
    <row r="531" customFormat="false" ht="15" hidden="false" customHeight="false" outlineLevel="0" collapsed="false">
      <c r="A531" s="42"/>
      <c r="B531" s="29"/>
      <c r="C531" s="29"/>
      <c r="D531" s="29"/>
      <c r="E531" s="29"/>
      <c r="F531" s="29"/>
    </row>
    <row r="532" customFormat="false" ht="15" hidden="false" customHeight="false" outlineLevel="0" collapsed="false">
      <c r="A532" s="42"/>
      <c r="B532" s="29"/>
      <c r="C532" s="29"/>
      <c r="D532" s="29"/>
      <c r="E532" s="29"/>
      <c r="F532" s="29"/>
    </row>
    <row r="533" customFormat="false" ht="15" hidden="false" customHeight="false" outlineLevel="0" collapsed="false">
      <c r="A533" s="42"/>
      <c r="B533" s="29"/>
      <c r="C533" s="29"/>
      <c r="D533" s="29"/>
      <c r="E533" s="29"/>
      <c r="F533" s="29"/>
    </row>
    <row r="534" customFormat="false" ht="15" hidden="false" customHeight="false" outlineLevel="0" collapsed="false">
      <c r="A534" s="42"/>
      <c r="B534" s="29"/>
      <c r="C534" s="29"/>
      <c r="D534" s="29"/>
      <c r="E534" s="29"/>
      <c r="F534" s="29"/>
    </row>
    <row r="535" customFormat="false" ht="15" hidden="false" customHeight="false" outlineLevel="0" collapsed="false">
      <c r="A535" s="42"/>
      <c r="B535" s="29"/>
      <c r="C535" s="29"/>
      <c r="D535" s="29"/>
      <c r="E535" s="29"/>
      <c r="F535" s="29"/>
    </row>
    <row r="536" customFormat="false" ht="15" hidden="false" customHeight="false" outlineLevel="0" collapsed="false">
      <c r="A536" s="42"/>
      <c r="B536" s="29"/>
      <c r="C536" s="29"/>
      <c r="D536" s="29"/>
      <c r="E536" s="29"/>
      <c r="F536" s="29"/>
    </row>
    <row r="537" customFormat="false" ht="15" hidden="false" customHeight="false" outlineLevel="0" collapsed="false">
      <c r="A537" s="42"/>
      <c r="B537" s="29"/>
      <c r="C537" s="29"/>
      <c r="D537" s="29"/>
      <c r="E537" s="29"/>
      <c r="F537" s="29"/>
    </row>
    <row r="538" customFormat="false" ht="15" hidden="false" customHeight="false" outlineLevel="0" collapsed="false">
      <c r="A538" s="42"/>
      <c r="B538" s="29"/>
      <c r="C538" s="29"/>
      <c r="D538" s="29"/>
      <c r="E538" s="29"/>
      <c r="F538" s="29"/>
    </row>
    <row r="539" customFormat="false" ht="15" hidden="false" customHeight="false" outlineLevel="0" collapsed="false">
      <c r="A539" s="42"/>
      <c r="B539" s="29"/>
      <c r="C539" s="29"/>
      <c r="D539" s="29"/>
      <c r="E539" s="29"/>
      <c r="F539" s="29"/>
    </row>
    <row r="540" customFormat="false" ht="15" hidden="false" customHeight="false" outlineLevel="0" collapsed="false">
      <c r="A540" s="42"/>
      <c r="B540" s="29"/>
      <c r="C540" s="29"/>
      <c r="D540" s="29"/>
      <c r="E540" s="29"/>
      <c r="F540" s="29"/>
    </row>
    <row r="541" customFormat="false" ht="15" hidden="false" customHeight="false" outlineLevel="0" collapsed="false">
      <c r="A541" s="42"/>
      <c r="B541" s="29"/>
      <c r="C541" s="29"/>
      <c r="D541" s="29"/>
      <c r="E541" s="29"/>
      <c r="F541" s="29"/>
    </row>
    <row r="542" customFormat="false" ht="15" hidden="false" customHeight="false" outlineLevel="0" collapsed="false">
      <c r="A542" s="42"/>
      <c r="B542" s="29"/>
      <c r="C542" s="29"/>
      <c r="D542" s="29"/>
      <c r="E542" s="29"/>
      <c r="F542" s="29"/>
    </row>
    <row r="543" customFormat="false" ht="15" hidden="false" customHeight="false" outlineLevel="0" collapsed="false">
      <c r="A543" s="42"/>
      <c r="B543" s="29"/>
      <c r="C543" s="29"/>
      <c r="D543" s="29"/>
      <c r="E543" s="29"/>
      <c r="F543" s="29"/>
    </row>
    <row r="544" customFormat="false" ht="15" hidden="false" customHeight="false" outlineLevel="0" collapsed="false">
      <c r="A544" s="42"/>
      <c r="B544" s="29"/>
      <c r="C544" s="29"/>
      <c r="D544" s="29"/>
      <c r="E544" s="29"/>
      <c r="F544" s="29"/>
    </row>
    <row r="545" customFormat="false" ht="15" hidden="false" customHeight="false" outlineLevel="0" collapsed="false">
      <c r="A545" s="42"/>
      <c r="B545" s="29"/>
      <c r="C545" s="29"/>
      <c r="D545" s="29"/>
      <c r="E545" s="29"/>
      <c r="F545" s="29"/>
    </row>
    <row r="546" customFormat="false" ht="15" hidden="false" customHeight="false" outlineLevel="0" collapsed="false">
      <c r="A546" s="42"/>
      <c r="B546" s="29"/>
      <c r="C546" s="29"/>
      <c r="D546" s="29"/>
      <c r="E546" s="29"/>
      <c r="F546" s="29"/>
    </row>
    <row r="547" customFormat="false" ht="15" hidden="false" customHeight="false" outlineLevel="0" collapsed="false">
      <c r="A547" s="42"/>
      <c r="B547" s="29"/>
      <c r="C547" s="29"/>
      <c r="D547" s="29"/>
      <c r="E547" s="29"/>
      <c r="F547" s="29"/>
    </row>
    <row r="548" customFormat="false" ht="15" hidden="false" customHeight="false" outlineLevel="0" collapsed="false">
      <c r="A548" s="42"/>
      <c r="B548" s="29"/>
      <c r="C548" s="29"/>
      <c r="D548" s="29"/>
      <c r="E548" s="29"/>
      <c r="F548" s="29"/>
    </row>
    <row r="549" customFormat="false" ht="15" hidden="false" customHeight="false" outlineLevel="0" collapsed="false">
      <c r="A549" s="42"/>
      <c r="B549" s="29"/>
      <c r="C549" s="29"/>
      <c r="D549" s="29"/>
      <c r="E549" s="29"/>
      <c r="F549" s="29"/>
    </row>
    <row r="550" customFormat="false" ht="15" hidden="false" customHeight="false" outlineLevel="0" collapsed="false">
      <c r="A550" s="42"/>
      <c r="B550" s="29"/>
      <c r="C550" s="29"/>
      <c r="D550" s="29"/>
      <c r="E550" s="29"/>
      <c r="F550" s="29"/>
    </row>
    <row r="551" customFormat="false" ht="15" hidden="false" customHeight="false" outlineLevel="0" collapsed="false">
      <c r="A551" s="42"/>
      <c r="B551" s="29"/>
      <c r="C551" s="29"/>
      <c r="D551" s="29"/>
      <c r="E551" s="29"/>
      <c r="F551" s="29"/>
    </row>
    <row r="552" customFormat="false" ht="15" hidden="false" customHeight="false" outlineLevel="0" collapsed="false">
      <c r="A552" s="42"/>
      <c r="B552" s="29"/>
      <c r="C552" s="29"/>
      <c r="D552" s="29"/>
      <c r="E552" s="29"/>
      <c r="F552" s="29"/>
    </row>
    <row r="553" customFormat="false" ht="15" hidden="false" customHeight="false" outlineLevel="0" collapsed="false">
      <c r="A553" s="42"/>
      <c r="B553" s="29"/>
      <c r="C553" s="29"/>
      <c r="D553" s="29"/>
      <c r="E553" s="29"/>
      <c r="F553" s="29"/>
    </row>
    <row r="554" customFormat="false" ht="15" hidden="false" customHeight="false" outlineLevel="0" collapsed="false">
      <c r="A554" s="42"/>
      <c r="B554" s="29"/>
      <c r="C554" s="29"/>
      <c r="D554" s="29"/>
      <c r="E554" s="29"/>
      <c r="F554" s="29"/>
    </row>
    <row r="555" customFormat="false" ht="15" hidden="false" customHeight="false" outlineLevel="0" collapsed="false">
      <c r="A555" s="42"/>
      <c r="B555" s="29"/>
      <c r="C555" s="29"/>
      <c r="D555" s="29"/>
      <c r="E555" s="29"/>
      <c r="F555" s="29"/>
    </row>
    <row r="556" customFormat="false" ht="15" hidden="false" customHeight="false" outlineLevel="0" collapsed="false">
      <c r="A556" s="42"/>
      <c r="B556" s="29"/>
      <c r="C556" s="29"/>
      <c r="D556" s="29"/>
      <c r="E556" s="29"/>
      <c r="F556" s="29"/>
    </row>
    <row r="557" customFormat="false" ht="15" hidden="false" customHeight="false" outlineLevel="0" collapsed="false">
      <c r="A557" s="42"/>
      <c r="B557" s="29"/>
      <c r="C557" s="29"/>
      <c r="D557" s="29"/>
      <c r="E557" s="29"/>
      <c r="F557" s="29"/>
    </row>
    <row r="558" customFormat="false" ht="15" hidden="false" customHeight="false" outlineLevel="0" collapsed="false">
      <c r="A558" s="42"/>
      <c r="B558" s="29"/>
      <c r="C558" s="29"/>
      <c r="D558" s="29"/>
      <c r="E558" s="29"/>
      <c r="F558" s="29"/>
    </row>
    <row r="559" customFormat="false" ht="15" hidden="false" customHeight="false" outlineLevel="0" collapsed="false">
      <c r="A559" s="42"/>
      <c r="B559" s="29"/>
      <c r="C559" s="29"/>
      <c r="D559" s="29"/>
      <c r="E559" s="29"/>
      <c r="F559" s="29"/>
    </row>
    <row r="560" customFormat="false" ht="15" hidden="false" customHeight="false" outlineLevel="0" collapsed="false">
      <c r="A560" s="42"/>
      <c r="B560" s="29"/>
      <c r="C560" s="29"/>
      <c r="D560" s="29"/>
      <c r="E560" s="29"/>
      <c r="F560" s="29"/>
    </row>
    <row r="561" customFormat="false" ht="15" hidden="false" customHeight="false" outlineLevel="0" collapsed="false">
      <c r="A561" s="42"/>
      <c r="B561" s="29"/>
      <c r="C561" s="29"/>
      <c r="D561" s="29"/>
      <c r="E561" s="29"/>
      <c r="F561" s="29"/>
    </row>
    <row r="562" customFormat="false" ht="15" hidden="false" customHeight="false" outlineLevel="0" collapsed="false">
      <c r="A562" s="42"/>
      <c r="B562" s="29"/>
      <c r="C562" s="29"/>
      <c r="D562" s="29"/>
      <c r="E562" s="29"/>
      <c r="F562" s="29"/>
    </row>
    <row r="563" customFormat="false" ht="15" hidden="false" customHeight="false" outlineLevel="0" collapsed="false">
      <c r="A563" s="42"/>
      <c r="B563" s="29"/>
      <c r="C563" s="29"/>
      <c r="D563" s="29"/>
      <c r="E563" s="29"/>
      <c r="F563" s="29"/>
    </row>
    <row r="564" customFormat="false" ht="15" hidden="false" customHeight="false" outlineLevel="0" collapsed="false">
      <c r="A564" s="42"/>
      <c r="B564" s="29"/>
      <c r="C564" s="29"/>
      <c r="D564" s="29"/>
      <c r="E564" s="29"/>
      <c r="F564" s="29"/>
    </row>
    <row r="565" customFormat="false" ht="15" hidden="false" customHeight="false" outlineLevel="0" collapsed="false">
      <c r="A565" s="42"/>
      <c r="B565" s="29"/>
      <c r="C565" s="29"/>
      <c r="D565" s="29"/>
      <c r="E565" s="29"/>
      <c r="F565" s="29"/>
    </row>
    <row r="566" customFormat="false" ht="15" hidden="false" customHeight="false" outlineLevel="0" collapsed="false">
      <c r="A566" s="42"/>
      <c r="B566" s="29"/>
      <c r="C566" s="29"/>
      <c r="D566" s="29"/>
      <c r="E566" s="29"/>
      <c r="F566" s="29"/>
    </row>
    <row r="567" customFormat="false" ht="15" hidden="false" customHeight="false" outlineLevel="0" collapsed="false">
      <c r="A567" s="42"/>
      <c r="B567" s="29"/>
      <c r="C567" s="29"/>
      <c r="D567" s="29"/>
      <c r="E567" s="29"/>
      <c r="F567" s="29"/>
    </row>
    <row r="568" customFormat="false" ht="15" hidden="false" customHeight="false" outlineLevel="0" collapsed="false">
      <c r="A568" s="42"/>
      <c r="B568" s="29"/>
      <c r="C568" s="29"/>
      <c r="D568" s="29"/>
      <c r="E568" s="29"/>
      <c r="F568" s="29"/>
    </row>
    <row r="569" customFormat="false" ht="15" hidden="false" customHeight="false" outlineLevel="0" collapsed="false">
      <c r="A569" s="42"/>
      <c r="B569" s="29"/>
      <c r="C569" s="29"/>
      <c r="D569" s="29"/>
      <c r="E569" s="29"/>
      <c r="F569" s="29"/>
    </row>
    <row r="570" customFormat="false" ht="15" hidden="false" customHeight="false" outlineLevel="0" collapsed="false">
      <c r="A570" s="42"/>
      <c r="B570" s="29"/>
      <c r="C570" s="29"/>
      <c r="D570" s="29"/>
      <c r="E570" s="29"/>
      <c r="F570" s="29"/>
    </row>
    <row r="571" customFormat="false" ht="15" hidden="false" customHeight="false" outlineLevel="0" collapsed="false">
      <c r="A571" s="42"/>
      <c r="B571" s="29"/>
      <c r="C571" s="29"/>
      <c r="D571" s="29"/>
      <c r="E571" s="29"/>
      <c r="F571" s="29"/>
    </row>
    <row r="572" customFormat="false" ht="15" hidden="false" customHeight="false" outlineLevel="0" collapsed="false">
      <c r="A572" s="42"/>
      <c r="B572" s="29"/>
      <c r="C572" s="29"/>
      <c r="D572" s="29"/>
      <c r="E572" s="29"/>
      <c r="F572" s="29"/>
    </row>
    <row r="573" customFormat="false" ht="15" hidden="false" customHeight="false" outlineLevel="0" collapsed="false">
      <c r="A573" s="42"/>
      <c r="B573" s="29"/>
      <c r="C573" s="29"/>
      <c r="D573" s="29"/>
      <c r="E573" s="29"/>
      <c r="F573" s="29"/>
    </row>
    <row r="574" customFormat="false" ht="15" hidden="false" customHeight="false" outlineLevel="0" collapsed="false">
      <c r="A574" s="42"/>
      <c r="B574" s="29"/>
      <c r="C574" s="29"/>
      <c r="D574" s="29"/>
      <c r="E574" s="29"/>
      <c r="F574" s="29"/>
    </row>
    <row r="575" customFormat="false" ht="15" hidden="false" customHeight="false" outlineLevel="0" collapsed="false">
      <c r="A575" s="42"/>
      <c r="B575" s="29"/>
      <c r="C575" s="29"/>
      <c r="D575" s="29"/>
      <c r="E575" s="29"/>
      <c r="F575" s="29"/>
    </row>
    <row r="576" customFormat="false" ht="15" hidden="false" customHeight="false" outlineLevel="0" collapsed="false">
      <c r="A576" s="42"/>
      <c r="B576" s="29"/>
      <c r="C576" s="29"/>
      <c r="D576" s="29"/>
      <c r="E576" s="29"/>
      <c r="F576" s="29"/>
    </row>
    <row r="577" customFormat="false" ht="15" hidden="false" customHeight="false" outlineLevel="0" collapsed="false">
      <c r="A577" s="42"/>
      <c r="B577" s="29"/>
      <c r="C577" s="29"/>
      <c r="D577" s="29"/>
      <c r="E577" s="29"/>
      <c r="F577" s="29"/>
    </row>
    <row r="578" customFormat="false" ht="15" hidden="false" customHeight="false" outlineLevel="0" collapsed="false">
      <c r="A578" s="42"/>
      <c r="B578" s="29"/>
      <c r="C578" s="29"/>
      <c r="D578" s="29"/>
      <c r="E578" s="29"/>
      <c r="F578" s="29"/>
    </row>
    <row r="579" customFormat="false" ht="15" hidden="false" customHeight="false" outlineLevel="0" collapsed="false">
      <c r="A579" s="42"/>
      <c r="B579" s="29"/>
      <c r="C579" s="29"/>
      <c r="D579" s="29"/>
      <c r="E579" s="29"/>
      <c r="F579" s="29"/>
    </row>
    <row r="580" customFormat="false" ht="15" hidden="false" customHeight="false" outlineLevel="0" collapsed="false">
      <c r="A580" s="42"/>
      <c r="B580" s="29"/>
      <c r="C580" s="29"/>
      <c r="D580" s="29"/>
      <c r="E580" s="29"/>
      <c r="F580" s="29"/>
    </row>
    <row r="581" customFormat="false" ht="15" hidden="false" customHeight="false" outlineLevel="0" collapsed="false">
      <c r="A581" s="42"/>
      <c r="B581" s="29"/>
      <c r="C581" s="29"/>
      <c r="D581" s="29"/>
      <c r="E581" s="29"/>
      <c r="F581" s="29"/>
    </row>
    <row r="582" customFormat="false" ht="15" hidden="false" customHeight="false" outlineLevel="0" collapsed="false">
      <c r="A582" s="42"/>
      <c r="B582" s="29"/>
      <c r="C582" s="29"/>
      <c r="D582" s="29"/>
      <c r="E582" s="29"/>
      <c r="F582" s="29"/>
    </row>
    <row r="583" customFormat="false" ht="15" hidden="false" customHeight="false" outlineLevel="0" collapsed="false">
      <c r="A583" s="42"/>
      <c r="B583" s="29"/>
      <c r="C583" s="29"/>
      <c r="D583" s="29"/>
      <c r="E583" s="29"/>
      <c r="F583" s="29"/>
    </row>
    <row r="584" customFormat="false" ht="15" hidden="false" customHeight="false" outlineLevel="0" collapsed="false">
      <c r="A584" s="42"/>
      <c r="B584" s="29"/>
      <c r="C584" s="29"/>
      <c r="D584" s="29"/>
      <c r="E584" s="29"/>
      <c r="F584" s="29"/>
    </row>
    <row r="585" customFormat="false" ht="15" hidden="false" customHeight="false" outlineLevel="0" collapsed="false">
      <c r="A585" s="42"/>
      <c r="B585" s="29"/>
      <c r="C585" s="29"/>
      <c r="D585" s="29"/>
      <c r="E585" s="29"/>
      <c r="F585" s="29"/>
    </row>
    <row r="586" customFormat="false" ht="15" hidden="false" customHeight="false" outlineLevel="0" collapsed="false">
      <c r="A586" s="42"/>
      <c r="B586" s="29"/>
      <c r="C586" s="29"/>
      <c r="D586" s="29"/>
      <c r="E586" s="29"/>
      <c r="F586" s="29"/>
    </row>
    <row r="587" customFormat="false" ht="15" hidden="false" customHeight="false" outlineLevel="0" collapsed="false">
      <c r="A587" s="42"/>
      <c r="B587" s="29"/>
      <c r="C587" s="29"/>
      <c r="D587" s="29"/>
      <c r="E587" s="29"/>
      <c r="F587" s="29"/>
    </row>
    <row r="588" customFormat="false" ht="15" hidden="false" customHeight="false" outlineLevel="0" collapsed="false">
      <c r="A588" s="42"/>
      <c r="B588" s="29"/>
      <c r="C588" s="29"/>
      <c r="D588" s="29"/>
      <c r="E588" s="29"/>
      <c r="F588" s="29"/>
    </row>
    <row r="589" customFormat="false" ht="15" hidden="false" customHeight="false" outlineLevel="0" collapsed="false">
      <c r="A589" s="42"/>
      <c r="B589" s="29"/>
      <c r="C589" s="29"/>
      <c r="D589" s="29"/>
      <c r="E589" s="29"/>
      <c r="F589" s="29"/>
    </row>
    <row r="590" customFormat="false" ht="15" hidden="false" customHeight="false" outlineLevel="0" collapsed="false">
      <c r="A590" s="42"/>
      <c r="B590" s="29"/>
      <c r="C590" s="29"/>
      <c r="D590" s="29"/>
      <c r="E590" s="29"/>
      <c r="F590" s="29"/>
    </row>
    <row r="591" customFormat="false" ht="15" hidden="false" customHeight="false" outlineLevel="0" collapsed="false">
      <c r="A591" s="42"/>
      <c r="B591" s="29"/>
      <c r="C591" s="29"/>
      <c r="D591" s="29"/>
      <c r="E591" s="29"/>
      <c r="F591" s="29"/>
    </row>
    <row r="592" customFormat="false" ht="15" hidden="false" customHeight="false" outlineLevel="0" collapsed="false">
      <c r="A592" s="42"/>
      <c r="B592" s="29"/>
      <c r="C592" s="29"/>
      <c r="D592" s="29"/>
      <c r="E592" s="29"/>
      <c r="F592" s="29"/>
    </row>
    <row r="593" customFormat="false" ht="15" hidden="false" customHeight="false" outlineLevel="0" collapsed="false">
      <c r="A593" s="42"/>
      <c r="B593" s="29"/>
      <c r="C593" s="29"/>
      <c r="D593" s="29"/>
      <c r="E593" s="29"/>
      <c r="F593" s="29"/>
    </row>
    <row r="594" customFormat="false" ht="15" hidden="false" customHeight="false" outlineLevel="0" collapsed="false">
      <c r="A594" s="42"/>
      <c r="B594" s="29"/>
      <c r="C594" s="29"/>
      <c r="D594" s="29"/>
      <c r="E594" s="29"/>
      <c r="F594" s="29"/>
    </row>
    <row r="595" customFormat="false" ht="15" hidden="false" customHeight="false" outlineLevel="0" collapsed="false">
      <c r="A595" s="42"/>
      <c r="B595" s="29"/>
      <c r="C595" s="29"/>
      <c r="D595" s="29"/>
      <c r="E595" s="29"/>
      <c r="F595" s="29"/>
    </row>
    <row r="596" customFormat="false" ht="15" hidden="false" customHeight="false" outlineLevel="0" collapsed="false">
      <c r="A596" s="42"/>
      <c r="B596" s="29"/>
      <c r="C596" s="29"/>
      <c r="D596" s="29"/>
      <c r="E596" s="29"/>
      <c r="F596" s="29"/>
    </row>
    <row r="597" customFormat="false" ht="15" hidden="false" customHeight="false" outlineLevel="0" collapsed="false">
      <c r="A597" s="42"/>
      <c r="B597" s="29"/>
      <c r="C597" s="29"/>
      <c r="D597" s="29"/>
      <c r="E597" s="29"/>
      <c r="F597" s="29"/>
    </row>
    <row r="598" customFormat="false" ht="15" hidden="false" customHeight="false" outlineLevel="0" collapsed="false">
      <c r="A598" s="42"/>
      <c r="B598" s="29"/>
      <c r="C598" s="29"/>
      <c r="D598" s="29"/>
      <c r="E598" s="29"/>
      <c r="F598" s="29"/>
    </row>
    <row r="599" customFormat="false" ht="15" hidden="false" customHeight="false" outlineLevel="0" collapsed="false">
      <c r="A599" s="42"/>
      <c r="B599" s="29"/>
      <c r="C599" s="29"/>
      <c r="D599" s="29"/>
      <c r="E599" s="29"/>
      <c r="F599" s="29"/>
    </row>
    <row r="600" customFormat="false" ht="15" hidden="false" customHeight="false" outlineLevel="0" collapsed="false">
      <c r="A600" s="42"/>
      <c r="B600" s="29"/>
      <c r="C600" s="29"/>
      <c r="D600" s="29"/>
      <c r="E600" s="29"/>
      <c r="F600" s="29"/>
    </row>
  </sheetData>
  <dataValidations count="3">
    <dataValidation allowBlank="true" errorStyle="stop" operator="between" showDropDown="false" showErrorMessage="false" showInputMessage="false" sqref="B4:B600" type="list">
      <formula1>Pipeline!$E$2:$E$129</formula1>
      <formula2>0</formula2>
    </dataValidation>
    <dataValidation allowBlank="true" errorStyle="stop" operator="between" showDropDown="false" showErrorMessage="false" showInputMessage="false" sqref="C4:C600" type="list">
      <formula1>Lists!$D$2:$D$8</formula1>
      <formula2>0</formula2>
    </dataValidation>
    <dataValidation allowBlank="true" errorStyle="stop" operator="between" showDropDown="false" showErrorMessage="false" showInputMessage="false" sqref="F4:F600" type="list">
      <formula1>Lists!$B$2:$B$4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5" t="s">
        <v>108</v>
      </c>
      <c r="B1" s="5" t="s">
        <v>107</v>
      </c>
      <c r="C1" s="5" t="s">
        <v>1178</v>
      </c>
      <c r="D1" s="5" t="s">
        <v>1179</v>
      </c>
      <c r="E1" s="5" t="s">
        <v>78</v>
      </c>
      <c r="F1" s="5" t="s">
        <v>80</v>
      </c>
    </row>
    <row r="2" customFormat="false" ht="15" hidden="false" customHeight="false" outlineLevel="0" collapsed="false">
      <c r="A2" s="13" t="s">
        <v>34</v>
      </c>
      <c r="B2" s="13" t="s">
        <v>1180</v>
      </c>
      <c r="C2" s="13" t="s">
        <v>1181</v>
      </c>
      <c r="D2" s="13" t="s">
        <v>1174</v>
      </c>
      <c r="E2" s="13" t="s">
        <v>126</v>
      </c>
      <c r="F2" s="13" t="s">
        <v>127</v>
      </c>
    </row>
    <row r="3" customFormat="false" ht="15" hidden="false" customHeight="false" outlineLevel="0" collapsed="false">
      <c r="A3" s="13" t="s">
        <v>36</v>
      </c>
      <c r="B3" s="13" t="s">
        <v>1177</v>
      </c>
      <c r="C3" s="13" t="s">
        <v>1182</v>
      </c>
      <c r="D3" s="13" t="s">
        <v>99</v>
      </c>
      <c r="E3" s="13" t="s">
        <v>215</v>
      </c>
      <c r="F3" s="13" t="s">
        <v>147</v>
      </c>
    </row>
    <row r="4" customFormat="false" ht="15" hidden="false" customHeight="false" outlineLevel="0" collapsed="false">
      <c r="A4" s="13" t="s">
        <v>38</v>
      </c>
      <c r="B4" s="13" t="s">
        <v>1183</v>
      </c>
      <c r="D4" s="13" t="s">
        <v>1184</v>
      </c>
      <c r="E4" s="13" t="s">
        <v>380</v>
      </c>
      <c r="F4" s="13" t="s">
        <v>352</v>
      </c>
    </row>
    <row r="5" customFormat="false" ht="15" hidden="false" customHeight="false" outlineLevel="0" collapsed="false">
      <c r="A5" s="13" t="s">
        <v>40</v>
      </c>
      <c r="D5" s="13" t="s">
        <v>1185</v>
      </c>
      <c r="E5" s="13" t="s">
        <v>454</v>
      </c>
    </row>
    <row r="6" customFormat="false" ht="15" hidden="false" customHeight="false" outlineLevel="0" collapsed="false">
      <c r="A6" s="13" t="s">
        <v>43</v>
      </c>
      <c r="D6" s="13" t="s">
        <v>1186</v>
      </c>
    </row>
    <row r="7" customFormat="false" ht="15" hidden="false" customHeight="false" outlineLevel="0" collapsed="false">
      <c r="A7" s="13" t="s">
        <v>45</v>
      </c>
      <c r="D7" s="13" t="s">
        <v>1187</v>
      </c>
    </row>
    <row r="8" customFormat="false" ht="15" hidden="false" customHeight="false" outlineLevel="0" collapsed="false">
      <c r="A8" s="13" t="s">
        <v>48</v>
      </c>
      <c r="D8" s="13" t="s">
        <v>1188</v>
      </c>
    </row>
    <row r="9" customFormat="false" ht="15" hidden="false" customHeight="false" outlineLevel="0" collapsed="false">
      <c r="A9" s="13" t="s">
        <v>51</v>
      </c>
    </row>
    <row r="10" customFormat="false" ht="15" hidden="false" customHeight="false" outlineLevel="0" collapsed="false">
      <c r="A10" s="13" t="s">
        <v>54</v>
      </c>
    </row>
    <row r="11" customFormat="false" ht="15" hidden="false" customHeight="false" outlineLevel="0" collapsed="false">
      <c r="A11" s="13" t="s">
        <v>56</v>
      </c>
    </row>
    <row r="12" customFormat="false" ht="15" hidden="false" customHeight="false" outlineLevel="0" collapsed="false">
      <c r="A12" s="13" t="s">
        <v>58</v>
      </c>
    </row>
    <row r="13" customFormat="false" ht="15" hidden="false" customHeight="false" outlineLevel="0" collapsed="false">
      <c r="A13" s="13" t="s">
        <v>60</v>
      </c>
    </row>
    <row r="14" customFormat="false" ht="15" hidden="false" customHeight="false" outlineLevel="0" collapsed="false">
      <c r="A14" s="13" t="s">
        <v>62</v>
      </c>
    </row>
    <row r="15" customFormat="false" ht="15" hidden="false" customHeight="false" outlineLevel="0" collapsed="false">
      <c r="A15" s="13" t="s">
        <v>64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2026-09-13T08:12:06Z</dcterms:created>
  <dc:creator>openpyxl</dc:creator>
  <dc:description/>
  <dc:language>en-US</dc:language>
  <cp:lastModifiedBy/>
  <dcterms:modified xsi:type="dcterms:W3CDTF">2026-09-13T08:12:08Z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